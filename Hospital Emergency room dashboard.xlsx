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90f7efe2a3410304/Documents/"/>
    </mc:Choice>
  </mc:AlternateContent>
  <xr:revisionPtr revIDLastSave="1576" documentId="8_{894B5497-59FF-4305-AD20-7AC347A2528F}" xr6:coauthVersionLast="47" xr6:coauthVersionMax="47" xr10:uidLastSave="{1F627037-C467-4DB3-8BE6-8A9AD9DFBF66}"/>
  <bookViews>
    <workbookView xWindow="-108" yWindow="-108" windowWidth="23256" windowHeight="12456" firstSheet="2" activeTab="2" xr2:uid="{740432CA-40ED-4D28-97F1-EB455CDF9FC6}"/>
  </bookViews>
  <sheets>
    <sheet name="Pivot report" sheetId="1" r:id="rId1"/>
    <sheet name="Dashboard" sheetId="2" r:id="rId2"/>
    <sheet name="Average waittime daily trends" sheetId="4" r:id="rId3"/>
    <sheet name="Daily_ER_No._of_patient" sheetId="3" r:id="rId4"/>
    <sheet name="Satisfaction score daily trends" sheetId="5" r:id="rId5"/>
  </sheets>
  <definedNames>
    <definedName name="Slicer_Date__Month">#N/A</definedName>
    <definedName name="Slicer_Date__Year">#N/A</definedName>
  </definedNames>
  <calcPr calcId="191029"/>
  <pivotCaches>
    <pivotCache cacheId="165" r:id="rId6"/>
    <pivotCache cacheId="168" r:id="rId7"/>
    <pivotCache cacheId="171" r:id="rId8"/>
    <pivotCache cacheId="174" r:id="rId9"/>
    <pivotCache cacheId="177" r:id="rId10"/>
    <pivotCache cacheId="180" r:id="rId11"/>
    <pivotCache cacheId="183" r:id="rId12"/>
    <pivotCache cacheId="186" r:id="rId13"/>
    <pivotCache cacheId="189" r:id="rId14"/>
    <pivotCache cacheId="192" r:id="rId15"/>
    <pivotCache cacheId="195" r:id="rId16"/>
    <pivotCache cacheId="19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8569dc7-5ef5-4110-a50f-0a29a047575b" name="Hospital Emergency Room Data" connection="Query - Hospital Emergency Room Data"/>
          <x15:modelTable id="Calendar_Table_80fa250b-f92e-4efd-9cd8-d647d4533ae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B47" i="1"/>
  <c r="C47"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54926D-4715-49CE-B332-EF3BC1A929C6}" name="Query - Calendar_Table" description="Connection to the 'Calendar_Table' query in the workbook." type="100" refreshedVersion="8" minRefreshableVersion="5">
    <extLst>
      <ext xmlns:x15="http://schemas.microsoft.com/office/spreadsheetml/2010/11/main" uri="{DE250136-89BD-433C-8126-D09CA5730AF9}">
        <x15:connection id="c517fd8a-71ee-4551-9b9b-a18b7c5460e2"/>
      </ext>
    </extLst>
  </connection>
  <connection id="2" xr16:uid="{CBDD7718-60C0-4768-A9D3-A58F518A9CE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ec4385a-9680-4e36-81a9-4e0aa480d9c0"/>
      </ext>
    </extLst>
  </connection>
  <connection id="3" xr16:uid="{08D8223B-A0D6-4F9D-926F-0488EF0410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<sst xmlns="http://schemas.openxmlformats.org/spreadsheetml/2006/main" count="149" uniqueCount="70">
  <si>
    <t>Distinct Count of Patient Id</t>
  </si>
  <si>
    <t>Average of Patient Waittime</t>
  </si>
  <si>
    <t>Average of Patient Satisfaction Score</t>
  </si>
  <si>
    <t>Row Labels</t>
  </si>
  <si>
    <t>Grand Total</t>
  </si>
  <si>
    <t>2023</t>
  </si>
  <si>
    <t xml:space="preserve">Daily trends no of patient </t>
  </si>
  <si>
    <t>average waittime</t>
  </si>
  <si>
    <t>Count of Patient Admission Flag</t>
  </si>
  <si>
    <t>Admitted</t>
  </si>
  <si>
    <t>Not Admitted</t>
  </si>
  <si>
    <t>Count of Patient attend status</t>
  </si>
  <si>
    <t>Delay</t>
  </si>
  <si>
    <t>On Time</t>
  </si>
  <si>
    <t>Count of Patient Admission Flag2</t>
  </si>
  <si>
    <t xml:space="preserve">Admission Status </t>
  </si>
  <si>
    <t>%Status</t>
  </si>
  <si>
    <t>No. of Patient</t>
  </si>
  <si>
    <t>0-09</t>
  </si>
  <si>
    <t>10-19</t>
  </si>
  <si>
    <t>20-29</t>
  </si>
  <si>
    <t>30-39</t>
  </si>
  <si>
    <t>40-49</t>
  </si>
  <si>
    <t>50-59</t>
  </si>
  <si>
    <t>60-69</t>
  </si>
  <si>
    <t>70-79</t>
  </si>
  <si>
    <t>Count of Age Group</t>
  </si>
  <si>
    <t>Count of Patient Gender</t>
  </si>
  <si>
    <t>Female</t>
  </si>
  <si>
    <t>Male</t>
  </si>
  <si>
    <t>Cardiology</t>
  </si>
  <si>
    <t>Gastroenterology</t>
  </si>
  <si>
    <t>General Practice</t>
  </si>
  <si>
    <t>Neurology</t>
  </si>
  <si>
    <t>None</t>
  </si>
  <si>
    <t>Orthopedics</t>
  </si>
  <si>
    <t>Physiotherapy</t>
  </si>
  <si>
    <t>Renal</t>
  </si>
  <si>
    <t>Count of Department Referral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</si>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</sst>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4"/>
      <color theme="0"/>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 fontId="0" fillId="0" borderId="0" xfId="0" applyNumberFormat="1"/>
    <xf numFmtId="0" fontId="0" fillId="4" borderId="0" xfId="0" applyFill="1"/>
    <xf numFmtId="0" fontId="1" fillId="4" borderId="0" xfId="0" applyFont="1" applyFill="1" applyAlignment="1">
      <alignment horizontal="left"/>
    </xf>
    <xf numFmtId="0" fontId="1" fillId="4" borderId="0" xfId="0" applyFont="1" applyFill="1"/>
    <xf numFmtId="0" fontId="0" fillId="3" borderId="0" xfId="0" applyFill="1" applyAlignment="1">
      <alignment horizontal="center"/>
    </xf>
    <xf numFmtId="10" fontId="0" fillId="3" borderId="0" xfId="0" applyNumberFormat="1" applyFill="1" applyAlignment="1">
      <alignment horizontal="center"/>
    </xf>
    <xf numFmtId="0" fontId="0" fillId="0" borderId="0" xfId="0" applyNumberFormat="1"/>
  </cellXfs>
  <cellStyles count="1">
    <cellStyle name="Normal" xfId="0" builtinId="0"/>
  </cellStyles>
  <dxfs count="76">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font>
        <b/>
        <color theme="1"/>
      </font>
      <border>
        <bottom style="thin">
          <color theme="5"/>
        </bottom>
        <vertical/>
        <horizontal/>
      </border>
    </dxf>
    <dxf>
      <font>
        <b/>
        <i val="0"/>
        <sz val="8"/>
        <color theme="1"/>
      </font>
      <fill>
        <patternFill>
          <bgColor theme="0" tint="-0.14996795556505021"/>
        </patternFill>
      </fill>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BFAAE633-6C1D-412D-8E1E-0232A295BCE8}">
      <tableStyleElement type="wholeTable" dxfId="75"/>
      <tableStyleElement type="headerRow" dxfId="74"/>
    </tableStyle>
    <tableStyle name="mystyel" pivot="0" table="0" count="10" xr9:uid="{4466507F-78A8-4BF3-8701-124913B8B239}">
      <tableStyleElement type="wholeTable" dxfId="73"/>
      <tableStyleElement type="headerRow" dxfId="7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e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2"/>
  </c:pivotSource>
  <c:chart>
    <c:autoTitleDeleted val="0"/>
    <c:pivotFmts>
      <c:pivotFmt>
        <c:idx val="0"/>
        <c:marker>
          <c:symbol val="none"/>
        </c:marker>
        <c:dLbl>
          <c:idx val="0"/>
          <c:spPr>
            <a:noFill/>
            <a:ln>
              <a:noFill/>
            </a:ln>
            <a:effectLst/>
          </c:spPr>
          <c:txPr>
            <a:bodyPr wrap="none" lIns="38100" tIns="19050" rIns="38100" bIns="19050" anchor="ctr">
              <a:spAutoFit/>
            </a:bodyPr>
            <a:lstStyle/>
            <a:p>
              <a:pPr>
                <a:defRPr sz="700"/>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marker>
          <c:symbol val="none"/>
        </c:marker>
        <c:dLbl>
          <c:idx val="0"/>
          <c:delete val="1"/>
          <c:extLst>
            <c:ext xmlns:c15="http://schemas.microsoft.com/office/drawing/2012/chart" uri="{CE6537A1-D6FC-4f65-9D91-7224C49458BB}"/>
          </c:extLst>
        </c:dLbl>
      </c:pivotFmt>
      <c:pivotFmt>
        <c:idx val="2"/>
        <c:dLbl>
          <c:idx val="0"/>
          <c:tx>
            <c:rich>
              <a:bodyPr wrap="none" lIns="38100" tIns="19050" rIns="38100" bIns="19050" anchor="ctr">
                <a:spAutoFit/>
              </a:bodyPr>
              <a:lstStyle/>
              <a:p>
                <a:pPr>
                  <a:defRPr sz="700"/>
                </a:pPr>
                <a:fld id="{E9439A78-18E6-42F7-8F20-3C674FAE8810}" type="CELLRANGE">
                  <a:rPr lang="en-US"/>
                  <a:pPr>
                    <a:defRPr sz="700"/>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wrap="none" lIns="38100" tIns="19050" rIns="38100" bIns="19050" anchor="ctr">
                <a:spAutoFit/>
              </a:bodyPr>
              <a:lstStyle/>
              <a:p>
                <a:pPr>
                  <a:defRPr sz="700"/>
                </a:pPr>
                <a:fld id="{040B2492-104A-4C8E-9E61-197BD0ED2748}" type="CELLRANGE">
                  <a:rPr lang="en-US"/>
                  <a:pPr>
                    <a:defRPr sz="700"/>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8.8785046728971934E-3"/>
          <c:y val="1.0582010582010581E-2"/>
          <c:w val="0.91209317585301841"/>
          <c:h val="0.98816647919010148"/>
        </c:manualLayout>
      </c:layout>
      <c:barChart>
        <c:barDir val="bar"/>
        <c:grouping val="clustered"/>
        <c:varyColors val="0"/>
        <c:ser>
          <c:idx val="0"/>
          <c:order val="0"/>
          <c:tx>
            <c:strRef>
              <c:f>'Pivot report'!$C$47:$C$48</c:f>
              <c:strCache>
                <c:ptCount val="1"/>
                <c:pt idx="0">
                  <c:v>Count of Patient Admission Flag</c:v>
                </c:pt>
              </c:strCache>
            </c:strRef>
          </c:tx>
          <c:invertIfNegative val="0"/>
          <c:dLbls>
            <c:dLbl>
              <c:idx val="0"/>
              <c:tx>
                <c:rich>
                  <a:bodyPr/>
                  <a:lstStyle/>
                  <a:p>
                    <a:fld id="{E9439A78-18E6-42F7-8F20-3C674FAE881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4B3-4288-A554-DEAA90042D3A}"/>
                </c:ext>
              </c:extLst>
            </c:dLbl>
            <c:dLbl>
              <c:idx val="1"/>
              <c:tx>
                <c:rich>
                  <a:bodyPr/>
                  <a:lstStyle/>
                  <a:p>
                    <a:fld id="{040B2492-104A-4C8E-9E61-197BD0ED274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4B3-4288-A554-DEAA90042D3A}"/>
                </c:ext>
              </c:extLst>
            </c:dLbl>
            <c:spPr>
              <a:noFill/>
              <a:ln>
                <a:noFill/>
              </a:ln>
              <a:effectLst/>
            </c:spPr>
            <c:txPr>
              <a:bodyPr wrap="none" lIns="38100" tIns="19050" rIns="38100" bIns="19050" anchor="ctr">
                <a:spAutoFit/>
              </a:bodyPr>
              <a:lstStyle/>
              <a:p>
                <a:pPr>
                  <a:defRPr sz="700"/>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report'!$C$47:$C$48</c:f>
              <c:strCache>
                <c:ptCount val="2"/>
                <c:pt idx="0">
                  <c:v>Admitted</c:v>
                </c:pt>
                <c:pt idx="1">
                  <c:v>Not Admitted</c:v>
                </c:pt>
              </c:strCache>
            </c:strRef>
          </c:cat>
          <c:val>
            <c:numRef>
              <c:f>'Pivot report'!$C$47:$C$48</c:f>
              <c:numCache>
                <c:formatCode>0</c:formatCode>
                <c:ptCount val="2"/>
                <c:pt idx="0">
                  <c:v>234</c:v>
                </c:pt>
                <c:pt idx="1">
                  <c:v>260</c:v>
                </c:pt>
              </c:numCache>
            </c:numRef>
          </c:val>
          <c:extLst>
            <c:ext xmlns:c15="http://schemas.microsoft.com/office/drawing/2012/chart" uri="{02D57815-91ED-43cb-92C2-25804820EDAC}">
              <c15:datalabelsRange>
                <c15:f>'Pivot report'!$C$47:$C$48</c15:f>
                <c15:dlblRangeCache>
                  <c:ptCount val="2"/>
                  <c:pt idx="0">
                    <c:v>52.63%</c:v>
                  </c:pt>
                  <c:pt idx="1">
                    <c:v>47.37%</c:v>
                  </c:pt>
                </c15:dlblRangeCache>
              </c15:datalabelsRange>
            </c:ext>
            <c:ext xmlns:c16="http://schemas.microsoft.com/office/drawing/2014/chart" uri="{C3380CC4-5D6E-409C-BE32-E72D297353CC}">
              <c16:uniqueId val="{0000000F-B587-498A-9849-0E5D6937DC8B}"/>
            </c:ext>
          </c:extLst>
        </c:ser>
        <c:ser>
          <c:idx val="1"/>
          <c:order val="1"/>
          <c:tx>
            <c:strRef>
              <c:f>'Pivot report'!$C$47:$C$48</c:f>
              <c:strCache>
                <c:ptCount val="1"/>
                <c:pt idx="0">
                  <c:v>Count of Patient Admission Flag2</c:v>
                </c:pt>
              </c:strCache>
            </c:strRef>
          </c:tx>
          <c:invertIfNegative val="0"/>
          <c:cat>
            <c:strRef>
              <c:f>'Pivot report'!$C$47:$C$48</c:f>
              <c:strCache>
                <c:ptCount val="2"/>
                <c:pt idx="0">
                  <c:v>Admitted</c:v>
                </c:pt>
                <c:pt idx="1">
                  <c:v>Not Admitted</c:v>
                </c:pt>
              </c:strCache>
            </c:strRef>
          </c:cat>
          <c:val>
            <c:numRef>
              <c:f>'Pivot report'!$C$47:$C$48</c:f>
              <c:numCache>
                <c:formatCode>0.00%</c:formatCode>
                <c:ptCount val="2"/>
                <c:pt idx="0">
                  <c:v>0.47368421052631576</c:v>
                </c:pt>
                <c:pt idx="1">
                  <c:v>0.52631578947368418</c:v>
                </c:pt>
              </c:numCache>
            </c:numRef>
          </c:val>
          <c:extLst>
            <c:ext xmlns:c16="http://schemas.microsoft.com/office/drawing/2014/chart" uri="{C3380CC4-5D6E-409C-BE32-E72D297353CC}">
              <c16:uniqueId val="{00000010-B587-498A-9849-0E5D6937DC8B}"/>
            </c:ext>
          </c:extLst>
        </c:ser>
        <c:dLbls>
          <c:showLegendKey val="0"/>
          <c:showVal val="0"/>
          <c:showCatName val="0"/>
          <c:showSerName val="0"/>
          <c:showPercent val="0"/>
          <c:showBubbleSize val="0"/>
        </c:dLbls>
        <c:gapWidth val="0"/>
        <c:axId val="1873719839"/>
        <c:axId val="133415760"/>
      </c:barChart>
      <c:catAx>
        <c:axId val="1873719839"/>
        <c:scaling>
          <c:orientation val="minMax"/>
        </c:scaling>
        <c:delete val="1"/>
        <c:axPos val="l"/>
        <c:numFmt formatCode="General" sourceLinked="1"/>
        <c:majorTickMark val="out"/>
        <c:minorTickMark val="none"/>
        <c:tickLblPos val="nextTo"/>
        <c:crossAx val="133415760"/>
        <c:crosses val="autoZero"/>
        <c:auto val="1"/>
        <c:lblAlgn val="ctr"/>
        <c:lblOffset val="100"/>
        <c:noMultiLvlLbl val="0"/>
      </c:catAx>
      <c:valAx>
        <c:axId val="133415760"/>
        <c:scaling>
          <c:orientation val="minMax"/>
        </c:scaling>
        <c:delete val="1"/>
        <c:axPos val="b"/>
        <c:numFmt formatCode="0" sourceLinked="1"/>
        <c:majorTickMark val="out"/>
        <c:minorTickMark val="none"/>
        <c:tickLblPos val="nextTo"/>
        <c:crossAx val="187371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24056048112098E-3"/>
          <c:y val="0"/>
          <c:w val="0.99719736737453268"/>
          <c:h val="1"/>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report'!$G$4:$G$35</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report'!$H$4:$H$35</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6-4D4A-4877-B4CB-6E17FFCD7E9F}"/>
            </c:ext>
          </c:extLst>
        </c:ser>
        <c:dLbls>
          <c:showLegendKey val="0"/>
          <c:showVal val="0"/>
          <c:showCatName val="0"/>
          <c:showSerName val="0"/>
          <c:showPercent val="0"/>
          <c:showBubbleSize val="0"/>
        </c:dLbls>
        <c:axId val="1829608111"/>
        <c:axId val="645038383"/>
      </c:areaChart>
      <c:catAx>
        <c:axId val="1829608111"/>
        <c:scaling>
          <c:orientation val="minMax"/>
        </c:scaling>
        <c:delete val="1"/>
        <c:axPos val="b"/>
        <c:numFmt formatCode="General" sourceLinked="1"/>
        <c:majorTickMark val="out"/>
        <c:minorTickMark val="none"/>
        <c:tickLblPos val="nextTo"/>
        <c:crossAx val="645038383"/>
        <c:crosses val="autoZero"/>
        <c:auto val="1"/>
        <c:lblAlgn val="ctr"/>
        <c:lblOffset val="100"/>
        <c:noMultiLvlLbl val="0"/>
      </c:catAx>
      <c:valAx>
        <c:axId val="645038383"/>
        <c:scaling>
          <c:orientation val="minMax"/>
        </c:scaling>
        <c:delete val="1"/>
        <c:axPos val="l"/>
        <c:numFmt formatCode="General" sourceLinked="1"/>
        <c:majorTickMark val="out"/>
        <c:minorTickMark val="none"/>
        <c:tickLblPos val="nextTo"/>
        <c:crossAx val="1829608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0480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7615283267457E-3"/>
          <c:y val="0.17628205128205129"/>
          <c:w val="0.9868247694334652"/>
          <c:h val="0.80769230769230771"/>
        </c:manualLayout>
      </c:layout>
      <c:areaChart>
        <c:grouping val="standard"/>
        <c:varyColors val="0"/>
        <c:ser>
          <c:idx val="0"/>
          <c:order val="0"/>
          <c:tx>
            <c:strRef>
              <c:f>'Pivot report'!$M$1</c:f>
              <c:strCache>
                <c:ptCount val="1"/>
                <c:pt idx="0">
                  <c:v>Total</c:v>
                </c:pt>
              </c:strCache>
            </c:strRef>
          </c:tx>
          <c:spPr>
            <a:solidFill>
              <a:schemeClr val="accent1"/>
            </a:solidFill>
            <a:ln w="25400">
              <a:noFill/>
            </a:ln>
            <a:effectLst/>
          </c:spPr>
          <c:cat>
            <c:strRef>
              <c:f>'Pivot report'!$L$2:$L$33</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report'!$M$2:$M$33</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6-5E8C-4ADA-82AE-62DE4A1264A0}"/>
            </c:ext>
          </c:extLst>
        </c:ser>
        <c:dLbls>
          <c:showLegendKey val="0"/>
          <c:showVal val="0"/>
          <c:showCatName val="0"/>
          <c:showSerName val="0"/>
          <c:showPercent val="0"/>
          <c:showBubbleSize val="0"/>
        </c:dLbls>
        <c:axId val="202029071"/>
        <c:axId val="1043214191"/>
      </c:areaChart>
      <c:catAx>
        <c:axId val="202029071"/>
        <c:scaling>
          <c:orientation val="minMax"/>
        </c:scaling>
        <c:delete val="1"/>
        <c:axPos val="b"/>
        <c:numFmt formatCode="General" sourceLinked="1"/>
        <c:majorTickMark val="out"/>
        <c:minorTickMark val="none"/>
        <c:tickLblPos val="nextTo"/>
        <c:crossAx val="1043214191"/>
        <c:crosses val="autoZero"/>
        <c:auto val="1"/>
        <c:lblAlgn val="ctr"/>
        <c:lblOffset val="100"/>
        <c:noMultiLvlLbl val="0"/>
      </c:catAx>
      <c:valAx>
        <c:axId val="1043214191"/>
        <c:scaling>
          <c:orientation val="minMax"/>
        </c:scaling>
        <c:delete val="1"/>
        <c:axPos val="l"/>
        <c:numFmt formatCode="0.00" sourceLinked="1"/>
        <c:majorTickMark val="none"/>
        <c:minorTickMark val="none"/>
        <c:tickLblPos val="nextTo"/>
        <c:crossAx val="202029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4675226407509852E-2"/>
          <c:w val="1"/>
          <c:h val="0.91532477359249009"/>
        </c:manualLayout>
      </c:layout>
      <c:areaChart>
        <c:grouping val="standard"/>
        <c:varyColors val="0"/>
        <c:ser>
          <c:idx val="0"/>
          <c:order val="0"/>
          <c:tx>
            <c:strRef>
              <c:f>'Pivot report'!$Q$2</c:f>
              <c:strCache>
                <c:ptCount val="1"/>
                <c:pt idx="0">
                  <c:v>Total</c:v>
                </c:pt>
              </c:strCache>
            </c:strRef>
          </c:tx>
          <c:spPr>
            <a:solidFill>
              <a:schemeClr val="accent1"/>
            </a:solidFill>
            <a:ln w="25400">
              <a:noFill/>
            </a:ln>
            <a:effectLst/>
          </c:spPr>
          <c:cat>
            <c:strRef>
              <c:f>'Pivot report'!$P$3:$P$34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report'!$Q$3:$Q$34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6-9D85-483E-B3B3-E5A5A8D177F9}"/>
            </c:ext>
          </c:extLst>
        </c:ser>
        <c:dLbls>
          <c:showLegendKey val="0"/>
          <c:showVal val="0"/>
          <c:showCatName val="0"/>
          <c:showSerName val="0"/>
          <c:showPercent val="0"/>
          <c:showBubbleSize val="0"/>
        </c:dLbls>
        <c:axId val="284332703"/>
        <c:axId val="29716495"/>
      </c:areaChart>
      <c:catAx>
        <c:axId val="284332703"/>
        <c:scaling>
          <c:orientation val="minMax"/>
        </c:scaling>
        <c:delete val="1"/>
        <c:axPos val="b"/>
        <c:numFmt formatCode="General" sourceLinked="1"/>
        <c:majorTickMark val="out"/>
        <c:minorTickMark val="none"/>
        <c:tickLblPos val="nextTo"/>
        <c:crossAx val="29716495"/>
        <c:crosses val="autoZero"/>
        <c:auto val="1"/>
        <c:lblAlgn val="ctr"/>
        <c:lblOffset val="100"/>
        <c:noMultiLvlLbl val="0"/>
      </c:catAx>
      <c:valAx>
        <c:axId val="29716495"/>
        <c:scaling>
          <c:orientation val="minMax"/>
        </c:scaling>
        <c:delete val="1"/>
        <c:axPos val="l"/>
        <c:numFmt formatCode="0.00" sourceLinked="1"/>
        <c:majorTickMark val="none"/>
        <c:minorTickMark val="none"/>
        <c:tickLblPos val="nextTo"/>
        <c:crossAx val="28433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7615283267457E-3"/>
          <c:y val="0.17628205128205129"/>
          <c:w val="0.9868247694334652"/>
          <c:h val="0.80769230769230771"/>
        </c:manualLayout>
      </c:layout>
      <c:areaChart>
        <c:grouping val="standard"/>
        <c:varyColors val="0"/>
        <c:ser>
          <c:idx val="0"/>
          <c:order val="0"/>
          <c:tx>
            <c:strRef>
              <c:f>'Pivot report'!$M$1</c:f>
              <c:strCache>
                <c:ptCount val="1"/>
                <c:pt idx="0">
                  <c:v>Total</c:v>
                </c:pt>
              </c:strCache>
            </c:strRef>
          </c:tx>
          <c:spPr>
            <a:solidFill>
              <a:schemeClr val="accent1"/>
            </a:solidFill>
            <a:ln w="25400">
              <a:noFill/>
            </a:ln>
            <a:effectLst/>
          </c:spPr>
          <c:cat>
            <c:strRef>
              <c:f>'Pivot report'!$L$2:$L$33</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report'!$M$2:$M$33</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6-7729-4CE6-BF27-3556E9CEDAA5}"/>
            </c:ext>
          </c:extLst>
        </c:ser>
        <c:dLbls>
          <c:showLegendKey val="0"/>
          <c:showVal val="0"/>
          <c:showCatName val="0"/>
          <c:showSerName val="0"/>
          <c:showPercent val="0"/>
          <c:showBubbleSize val="0"/>
        </c:dLbls>
        <c:axId val="202029071"/>
        <c:axId val="1043214191"/>
      </c:areaChart>
      <c:catAx>
        <c:axId val="202029071"/>
        <c:scaling>
          <c:orientation val="minMax"/>
        </c:scaling>
        <c:delete val="1"/>
        <c:axPos val="b"/>
        <c:numFmt formatCode="General" sourceLinked="1"/>
        <c:majorTickMark val="out"/>
        <c:minorTickMark val="none"/>
        <c:tickLblPos val="nextTo"/>
        <c:crossAx val="1043214191"/>
        <c:crosses val="autoZero"/>
        <c:auto val="1"/>
        <c:lblAlgn val="ctr"/>
        <c:lblOffset val="100"/>
        <c:noMultiLvlLbl val="0"/>
      </c:catAx>
      <c:valAx>
        <c:axId val="1043214191"/>
        <c:scaling>
          <c:orientation val="minMax"/>
        </c:scaling>
        <c:delete val="1"/>
        <c:axPos val="l"/>
        <c:numFmt formatCode="0.00" sourceLinked="1"/>
        <c:majorTickMark val="none"/>
        <c:minorTickMark val="none"/>
        <c:tickLblPos val="nextTo"/>
        <c:crossAx val="202029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7615283267457E-3"/>
          <c:y val="0.17628205128205129"/>
          <c:w val="0.9868247694334652"/>
          <c:h val="0.80769230769230771"/>
        </c:manualLayout>
      </c:layout>
      <c:areaChart>
        <c:grouping val="standard"/>
        <c:varyColors val="0"/>
        <c:ser>
          <c:idx val="0"/>
          <c:order val="0"/>
          <c:tx>
            <c:strRef>
              <c:f>'Pivot report'!$M$1</c:f>
              <c:strCache>
                <c:ptCount val="1"/>
                <c:pt idx="0">
                  <c:v>Total</c:v>
                </c:pt>
              </c:strCache>
            </c:strRef>
          </c:tx>
          <c:spPr>
            <a:solidFill>
              <a:schemeClr val="accent1"/>
            </a:solidFill>
            <a:ln w="25400">
              <a:noFill/>
            </a:ln>
            <a:effectLst/>
          </c:spPr>
          <c:cat>
            <c:strRef>
              <c:f>'Pivot report'!$L$2:$L$33</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report'!$M$2:$M$33</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6-E57B-4016-B3E2-B52799EB38C6}"/>
            </c:ext>
          </c:extLst>
        </c:ser>
        <c:dLbls>
          <c:showLegendKey val="0"/>
          <c:showVal val="0"/>
          <c:showCatName val="0"/>
          <c:showSerName val="0"/>
          <c:showPercent val="0"/>
          <c:showBubbleSize val="0"/>
        </c:dLbls>
        <c:axId val="202029071"/>
        <c:axId val="1043214191"/>
      </c:areaChart>
      <c:catAx>
        <c:axId val="202029071"/>
        <c:scaling>
          <c:orientation val="minMax"/>
        </c:scaling>
        <c:delete val="1"/>
        <c:axPos val="b"/>
        <c:numFmt formatCode="General" sourceLinked="1"/>
        <c:majorTickMark val="out"/>
        <c:minorTickMark val="none"/>
        <c:tickLblPos val="nextTo"/>
        <c:crossAx val="1043214191"/>
        <c:crosses val="autoZero"/>
        <c:auto val="1"/>
        <c:lblAlgn val="ctr"/>
        <c:lblOffset val="100"/>
        <c:noMultiLvlLbl val="0"/>
      </c:catAx>
      <c:valAx>
        <c:axId val="1043214191"/>
        <c:scaling>
          <c:orientation val="minMax"/>
        </c:scaling>
        <c:delete val="1"/>
        <c:axPos val="l"/>
        <c:numFmt formatCode="0.00" sourceLinked="1"/>
        <c:majorTickMark val="none"/>
        <c:minorTickMark val="none"/>
        <c:tickLblPos val="nextTo"/>
        <c:crossAx val="202029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7615283267457E-3"/>
          <c:y val="0.17628205128205129"/>
          <c:w val="0.9868247694334652"/>
          <c:h val="0.80769230769230771"/>
        </c:manualLayout>
      </c:layout>
      <c:areaChart>
        <c:grouping val="standard"/>
        <c:varyColors val="0"/>
        <c:ser>
          <c:idx val="0"/>
          <c:order val="0"/>
          <c:tx>
            <c:strRef>
              <c:f>'Pivot report'!$M$1</c:f>
              <c:strCache>
                <c:ptCount val="1"/>
                <c:pt idx="0">
                  <c:v>Total</c:v>
                </c:pt>
              </c:strCache>
            </c:strRef>
          </c:tx>
          <c:spPr>
            <a:solidFill>
              <a:schemeClr val="accent1"/>
            </a:solidFill>
            <a:ln w="25400">
              <a:noFill/>
            </a:ln>
            <a:effectLst/>
          </c:spPr>
          <c:cat>
            <c:strRef>
              <c:f>'Pivot report'!$L$2:$L$33</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report'!$M$2:$M$33</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6-A3D4-453D-89AA-CF11C6069710}"/>
            </c:ext>
          </c:extLst>
        </c:ser>
        <c:dLbls>
          <c:showLegendKey val="0"/>
          <c:showVal val="0"/>
          <c:showCatName val="0"/>
          <c:showSerName val="0"/>
          <c:showPercent val="0"/>
          <c:showBubbleSize val="0"/>
        </c:dLbls>
        <c:axId val="202029071"/>
        <c:axId val="1043214191"/>
      </c:areaChart>
      <c:catAx>
        <c:axId val="202029071"/>
        <c:scaling>
          <c:orientation val="minMax"/>
        </c:scaling>
        <c:delete val="1"/>
        <c:axPos val="b"/>
        <c:numFmt formatCode="General" sourceLinked="1"/>
        <c:majorTickMark val="out"/>
        <c:minorTickMark val="none"/>
        <c:tickLblPos val="nextTo"/>
        <c:crossAx val="1043214191"/>
        <c:crosses val="autoZero"/>
        <c:auto val="1"/>
        <c:lblAlgn val="ctr"/>
        <c:lblOffset val="100"/>
        <c:noMultiLvlLbl val="0"/>
      </c:catAx>
      <c:valAx>
        <c:axId val="1043214191"/>
        <c:scaling>
          <c:orientation val="minMax"/>
        </c:scaling>
        <c:delete val="1"/>
        <c:axPos val="l"/>
        <c:numFmt formatCode="0.00" sourceLinked="1"/>
        <c:majorTickMark val="none"/>
        <c:minorTickMark val="none"/>
        <c:tickLblPos val="nextTo"/>
        <c:crossAx val="202029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77562550443905E-2"/>
          <c:y val="6.2799210060057763E-4"/>
          <c:w val="0.95560936238902339"/>
          <c:h val="0.7693152960342432"/>
        </c:manualLayout>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6-4C0D-40EF-A8C6-F8CE134D17CE}"/>
            </c:ext>
          </c:extLst>
        </c:ser>
        <c:dLbls>
          <c:dLblPos val="outEnd"/>
          <c:showLegendKey val="0"/>
          <c:showVal val="1"/>
          <c:showCatName val="0"/>
          <c:showSerName val="0"/>
          <c:showPercent val="0"/>
          <c:showBubbleSize val="0"/>
        </c:dLbls>
        <c:gapWidth val="83"/>
        <c:overlap val="-27"/>
        <c:axId val="80777647"/>
        <c:axId val="133376880"/>
      </c:barChart>
      <c:catAx>
        <c:axId val="8077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6880"/>
        <c:crosses val="autoZero"/>
        <c:auto val="1"/>
        <c:lblAlgn val="ctr"/>
        <c:lblOffset val="100"/>
        <c:noMultiLvlLbl val="0"/>
      </c:catAx>
      <c:valAx>
        <c:axId val="133376880"/>
        <c:scaling>
          <c:orientation val="minMax"/>
        </c:scaling>
        <c:delete val="1"/>
        <c:axPos val="l"/>
        <c:numFmt formatCode="0" sourceLinked="1"/>
        <c:majorTickMark val="out"/>
        <c:minorTickMark val="none"/>
        <c:tickLblPos val="nextTo"/>
        <c:crossAx val="8077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3"/>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24024031879736"/>
          <c:y val="0.2387668059349724"/>
          <c:w val="0.49167560450292552"/>
          <c:h val="0.75507324977234991"/>
        </c:manualLayout>
      </c:layout>
      <c:pieChart>
        <c:varyColors val="1"/>
        <c:ser>
          <c:idx val="0"/>
          <c:order val="0"/>
          <c:tx>
            <c:strRef>
              <c:f>'Pivot report'!$F$50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422-475D-AB31-0E494E69C54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422-475D-AB31-0E494E69C5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report'!$E$51:$E$53</c:f>
              <c:strCache>
                <c:ptCount val="2"/>
                <c:pt idx="0">
                  <c:v>Delay</c:v>
                </c:pt>
                <c:pt idx="1">
                  <c:v>On Time</c:v>
                </c:pt>
              </c:strCache>
            </c:strRef>
          </c:cat>
          <c:val>
            <c:numRef>
              <c:f>'Pivot report'!$F$51:$F$53</c:f>
              <c:numCache>
                <c:formatCode>0</c:formatCode>
                <c:ptCount val="2"/>
                <c:pt idx="0">
                  <c:v>307</c:v>
                </c:pt>
                <c:pt idx="1">
                  <c:v>187</c:v>
                </c:pt>
              </c:numCache>
            </c:numRef>
          </c:val>
          <c:extLst>
            <c:ext xmlns:c16="http://schemas.microsoft.com/office/drawing/2014/chart" uri="{C3380CC4-5D6E-409C-BE32-E72D297353CC}">
              <c16:uniqueId val="{0000000A-C4CA-4407-B5E4-976AA8B3FF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3088382143500275E-2"/>
          <c:y val="4.9456927640142541E-2"/>
          <c:w val="0.25197504381719726"/>
          <c:h val="0.36526229675835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149569201376327"/>
          <c:y val="0.22594880623844849"/>
          <c:w val="0.40307262828895513"/>
          <c:h val="0.73356626241655498"/>
        </c:manualLayout>
      </c:layout>
      <c:doughnutChart>
        <c:varyColors val="1"/>
        <c:ser>
          <c:idx val="0"/>
          <c:order val="0"/>
          <c:tx>
            <c:strRef>
              <c:f>'Pivot report'!$E$55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B4-4923-9428-E0A6F51D562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B4-4923-9428-E0A6F51D56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report'!$D$56:$D$58</c:f>
              <c:strCache>
                <c:ptCount val="2"/>
                <c:pt idx="0">
                  <c:v>Female</c:v>
                </c:pt>
                <c:pt idx="1">
                  <c:v>Male</c:v>
                </c:pt>
              </c:strCache>
            </c:strRef>
          </c:cat>
          <c:val>
            <c:numRef>
              <c:f>'Pivot report'!$E$56:$E$58</c:f>
              <c:numCache>
                <c:formatCode>0</c:formatCode>
                <c:ptCount val="2"/>
                <c:pt idx="0">
                  <c:v>241</c:v>
                </c:pt>
                <c:pt idx="1">
                  <c:v>253</c:v>
                </c:pt>
              </c:numCache>
            </c:numRef>
          </c:val>
          <c:extLst>
            <c:ext xmlns:c16="http://schemas.microsoft.com/office/drawing/2014/chart" uri="{C3380CC4-5D6E-409C-BE32-E72D297353CC}">
              <c16:uniqueId val="{0000000A-534D-4D9D-B6E5-7B6FC3C26D9B}"/>
            </c:ext>
          </c:extLst>
        </c:ser>
        <c:dLbls>
          <c:showLegendKey val="0"/>
          <c:showVal val="0"/>
          <c:showCatName val="0"/>
          <c:showSerName val="0"/>
          <c:showPercent val="1"/>
          <c:showBubbleSize val="0"/>
          <c:showLeaderLines val="1"/>
        </c:dLbls>
        <c:firstSliceAng val="0"/>
        <c:holeSize val="41"/>
      </c:doughnutChart>
      <c:spPr>
        <a:noFill/>
        <a:ln>
          <a:noFill/>
        </a:ln>
        <a:effectLst/>
      </c:spPr>
    </c:plotArea>
    <c:legend>
      <c:legendPos val="r"/>
      <c:layout>
        <c:manualLayout>
          <c:xMode val="edge"/>
          <c:yMode val="edge"/>
          <c:x val="6.0333138569692919E-2"/>
          <c:y val="4.059126853516299E-2"/>
          <c:w val="0.25074566650900088"/>
          <c:h val="0.361738866243005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2775306211723537"/>
          <c:y val="4.6413502109704644E-2"/>
          <c:w val="0.72269138232720909"/>
          <c:h val="0.8560410644871923"/>
        </c:manualLayout>
      </c:layout>
      <c:barChart>
        <c:barDir val="bar"/>
        <c:grouping val="clustered"/>
        <c:varyColors val="0"/>
        <c:ser>
          <c:idx val="0"/>
          <c:order val="0"/>
          <c:tx>
            <c:strRef>
              <c:f>'Pivot report'!$E$61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report'!$D$62:$D$70</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report'!$E$62:$E$70</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6-CA3E-47AF-ABE9-88ED360A38B9}"/>
            </c:ext>
          </c:extLst>
        </c:ser>
        <c:dLbls>
          <c:dLblPos val="outEnd"/>
          <c:showLegendKey val="0"/>
          <c:showVal val="1"/>
          <c:showCatName val="0"/>
          <c:showSerName val="0"/>
          <c:showPercent val="0"/>
          <c:showBubbleSize val="0"/>
        </c:dLbls>
        <c:gapWidth val="50"/>
        <c:axId val="80879263"/>
        <c:axId val="29744335"/>
      </c:barChart>
      <c:catAx>
        <c:axId val="8087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744335"/>
        <c:crosses val="autoZero"/>
        <c:auto val="1"/>
        <c:lblAlgn val="ctr"/>
        <c:lblOffset val="100"/>
        <c:noMultiLvlLbl val="0"/>
      </c:catAx>
      <c:valAx>
        <c:axId val="297443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3041569229958E-2"/>
          <c:y val="5.3967846643526336E-2"/>
          <c:w val="0.95850780432550642"/>
          <c:h val="0.80769230769230771"/>
        </c:manualLayout>
      </c:layout>
      <c:areaChart>
        <c:grouping val="standard"/>
        <c:varyColors val="0"/>
        <c:ser>
          <c:idx val="0"/>
          <c:order val="0"/>
          <c:tx>
            <c:strRef>
              <c:f>'Pivot report'!$M$1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report'!$L$2:$L$33</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report'!$M$2:$M$33</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5-E0C6-405B-8C61-42F67F708F3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2029071"/>
        <c:axId val="1043214191"/>
      </c:areaChart>
      <c:catAx>
        <c:axId val="2020290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3214191"/>
        <c:crosses val="autoZero"/>
        <c:auto val="1"/>
        <c:lblAlgn val="ctr"/>
        <c:lblOffset val="100"/>
        <c:noMultiLvlLbl val="0"/>
      </c:catAx>
      <c:valAx>
        <c:axId val="1043214191"/>
        <c:scaling>
          <c:orientation val="minMax"/>
        </c:scaling>
        <c:delete val="1"/>
        <c:axPos val="l"/>
        <c:numFmt formatCode="0.00" sourceLinked="1"/>
        <c:majorTickMark val="out"/>
        <c:minorTickMark val="none"/>
        <c:tickLblPos val="nextTo"/>
        <c:crossAx val="202029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219114219114219E-2"/>
          <c:y val="0.1657137662410316"/>
          <c:w val="0.95890442890442895"/>
          <c:h val="0.68099606998503515"/>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report'!$G$4:$G$35</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report'!$H$4:$H$35</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5-54A0-4260-AB75-4FA2CC5B13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29608111"/>
        <c:axId val="645038383"/>
      </c:areaChart>
      <c:catAx>
        <c:axId val="18296081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5038383"/>
        <c:crosses val="autoZero"/>
        <c:auto val="1"/>
        <c:lblAlgn val="ctr"/>
        <c:lblOffset val="100"/>
        <c:noMultiLvlLbl val="0"/>
      </c:catAx>
      <c:valAx>
        <c:axId val="645038383"/>
        <c:scaling>
          <c:orientation val="minMax"/>
        </c:scaling>
        <c:delete val="1"/>
        <c:axPos val="l"/>
        <c:numFmt formatCode="General" sourceLinked="1"/>
        <c:majorTickMark val="out"/>
        <c:minorTickMark val="none"/>
        <c:tickLblPos val="nextTo"/>
        <c:crossAx val="1829608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6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3749319553166E-2"/>
          <c:y val="0"/>
          <c:w val="0.84387533958449934"/>
          <c:h val="0.91532477359249009"/>
        </c:manualLayout>
      </c:layout>
      <c:areaChart>
        <c:grouping val="standard"/>
        <c:varyColors val="0"/>
        <c:ser>
          <c:idx val="0"/>
          <c:order val="0"/>
          <c:tx>
            <c:strRef>
              <c:f>'Pivot report'!$Q$2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report'!$P$3:$P$34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report'!$Q$3:$Q$34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5-73F3-4F3A-A5AA-CCA8AED3B74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84332703"/>
        <c:axId val="29716495"/>
      </c:areaChart>
      <c:catAx>
        <c:axId val="284332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716495"/>
        <c:crosses val="autoZero"/>
        <c:auto val="1"/>
        <c:lblAlgn val="ctr"/>
        <c:lblOffset val="100"/>
        <c:noMultiLvlLbl val="0"/>
      </c:catAx>
      <c:valAx>
        <c:axId val="29716495"/>
        <c:scaling>
          <c:orientation val="minMax"/>
        </c:scaling>
        <c:delete val="1"/>
        <c:axPos val="l"/>
        <c:numFmt formatCode="0.00" sourceLinked="1"/>
        <c:majorTickMark val="out"/>
        <c:minorTickMark val="none"/>
        <c:tickLblPos val="nextTo"/>
        <c:crossAx val="28433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_ER_No._of_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21" Type="http://schemas.openxmlformats.org/officeDocument/2006/relationships/chart" Target="../charts/chart11.xml"/><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time daily trends'!A1"/><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30480</xdr:colOff>
      <xdr:row>45</xdr:row>
      <xdr:rowOff>175260</xdr:rowOff>
    </xdr:from>
    <xdr:to>
      <xdr:col>4</xdr:col>
      <xdr:colOff>601980</xdr:colOff>
      <xdr:row>47</xdr:row>
      <xdr:rowOff>160020</xdr:rowOff>
    </xdr:to>
    <xdr:graphicFrame macro="">
      <xdr:nvGraphicFramePr>
        <xdr:cNvPr id="7" name="Chart 6">
          <a:extLst>
            <a:ext uri="{FF2B5EF4-FFF2-40B4-BE49-F238E27FC236}">
              <a16:creationId xmlns:a16="http://schemas.microsoft.com/office/drawing/2014/main" id="{0D582460-B40E-D69D-2616-05E564126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68580</xdr:colOff>
      <xdr:row>0</xdr:row>
      <xdr:rowOff>60960</xdr:rowOff>
    </xdr:from>
    <xdr:to>
      <xdr:col>8</xdr:col>
      <xdr:colOff>579120</xdr:colOff>
      <xdr:row>4</xdr:row>
      <xdr:rowOff>175260</xdr:rowOff>
    </xdr:to>
    <xdr:sp macro="" textlink="">
      <xdr:nvSpPr>
        <xdr:cNvPr id="2" name="Rectangle: Rounded Corners 1">
          <a:extLst>
            <a:ext uri="{FF2B5EF4-FFF2-40B4-BE49-F238E27FC236}">
              <a16:creationId xmlns:a16="http://schemas.microsoft.com/office/drawing/2014/main" id="{19E52B07-FD87-279A-ACF6-CEC0E8F1FB21}"/>
            </a:ext>
          </a:extLst>
        </xdr:cNvPr>
        <xdr:cNvSpPr/>
      </xdr:nvSpPr>
      <xdr:spPr>
        <a:xfrm>
          <a:off x="68580" y="60960"/>
          <a:ext cx="5387340" cy="8458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45720</xdr:colOff>
      <xdr:row>0</xdr:row>
      <xdr:rowOff>68580</xdr:rowOff>
    </xdr:from>
    <xdr:to>
      <xdr:col>12</xdr:col>
      <xdr:colOff>289560</xdr:colOff>
      <xdr:row>5</xdr:row>
      <xdr:rowOff>0</xdr:rowOff>
    </xdr:to>
    <xdr:sp macro="" textlink="">
      <xdr:nvSpPr>
        <xdr:cNvPr id="3" name="Rectangle: Rounded Corners 2">
          <a:extLst>
            <a:ext uri="{FF2B5EF4-FFF2-40B4-BE49-F238E27FC236}">
              <a16:creationId xmlns:a16="http://schemas.microsoft.com/office/drawing/2014/main" id="{7879E47D-3510-49FA-BDE5-BFB826725798}"/>
            </a:ext>
          </a:extLst>
        </xdr:cNvPr>
        <xdr:cNvSpPr/>
      </xdr:nvSpPr>
      <xdr:spPr>
        <a:xfrm>
          <a:off x="5532120" y="68580"/>
          <a:ext cx="2072640" cy="8458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381000</xdr:colOff>
      <xdr:row>0</xdr:row>
      <xdr:rowOff>60960</xdr:rowOff>
    </xdr:from>
    <xdr:to>
      <xdr:col>16</xdr:col>
      <xdr:colOff>236220</xdr:colOff>
      <xdr:row>8</xdr:row>
      <xdr:rowOff>38100</xdr:rowOff>
    </xdr:to>
    <xdr:sp macro="" textlink="">
      <xdr:nvSpPr>
        <xdr:cNvPr id="4" name="Rectangle: Rounded Corners 3">
          <a:extLst>
            <a:ext uri="{FF2B5EF4-FFF2-40B4-BE49-F238E27FC236}">
              <a16:creationId xmlns:a16="http://schemas.microsoft.com/office/drawing/2014/main" id="{024EF590-EF40-FBA5-3CE1-8C7D825BBAEF}"/>
            </a:ext>
          </a:extLst>
        </xdr:cNvPr>
        <xdr:cNvSpPr/>
      </xdr:nvSpPr>
      <xdr:spPr>
        <a:xfrm>
          <a:off x="7696200" y="60960"/>
          <a:ext cx="2293620" cy="1440180"/>
        </a:xfrm>
        <a:prstGeom prst="roundRect">
          <a:avLst>
            <a:gd name="adj" fmla="val 687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335280</xdr:colOff>
      <xdr:row>0</xdr:row>
      <xdr:rowOff>60960</xdr:rowOff>
    </xdr:from>
    <xdr:to>
      <xdr:col>20</xdr:col>
      <xdr:colOff>137160</xdr:colOff>
      <xdr:row>8</xdr:row>
      <xdr:rowOff>38100</xdr:rowOff>
    </xdr:to>
    <xdr:sp macro="" textlink="">
      <xdr:nvSpPr>
        <xdr:cNvPr id="5" name="Rectangle: Rounded Corners 4">
          <a:extLst>
            <a:ext uri="{FF2B5EF4-FFF2-40B4-BE49-F238E27FC236}">
              <a16:creationId xmlns:a16="http://schemas.microsoft.com/office/drawing/2014/main" id="{4CB7832B-EFC5-2835-F678-4B8FAFAA4170}"/>
            </a:ext>
          </a:extLst>
        </xdr:cNvPr>
        <xdr:cNvSpPr/>
      </xdr:nvSpPr>
      <xdr:spPr>
        <a:xfrm>
          <a:off x="10088880" y="60960"/>
          <a:ext cx="2240280" cy="1440180"/>
        </a:xfrm>
        <a:prstGeom prst="roundRect">
          <a:avLst>
            <a:gd name="adj" fmla="val 581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45720</xdr:colOff>
      <xdr:row>5</xdr:row>
      <xdr:rowOff>60960</xdr:rowOff>
    </xdr:from>
    <xdr:to>
      <xdr:col>1</xdr:col>
      <xdr:colOff>502920</xdr:colOff>
      <xdr:row>27</xdr:row>
      <xdr:rowOff>106680</xdr:rowOff>
    </xdr:to>
    <xdr:sp macro="" textlink="">
      <xdr:nvSpPr>
        <xdr:cNvPr id="6" name="Rectangle: Rounded Corners 5">
          <a:extLst>
            <a:ext uri="{FF2B5EF4-FFF2-40B4-BE49-F238E27FC236}">
              <a16:creationId xmlns:a16="http://schemas.microsoft.com/office/drawing/2014/main" id="{5C373B65-0607-7F34-E2E8-871179C18A6B}"/>
            </a:ext>
          </a:extLst>
        </xdr:cNvPr>
        <xdr:cNvSpPr/>
      </xdr:nvSpPr>
      <xdr:spPr>
        <a:xfrm>
          <a:off x="45720" y="975360"/>
          <a:ext cx="1066800" cy="4069080"/>
        </a:xfrm>
        <a:prstGeom prst="roundRect">
          <a:avLst>
            <a:gd name="adj" fmla="val 442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68580</xdr:colOff>
      <xdr:row>5</xdr:row>
      <xdr:rowOff>76200</xdr:rowOff>
    </xdr:from>
    <xdr:to>
      <xdr:col>5</xdr:col>
      <xdr:colOff>281940</xdr:colOff>
      <xdr:row>12</xdr:row>
      <xdr:rowOff>83820</xdr:rowOff>
    </xdr:to>
    <xdr:sp macro="" textlink="">
      <xdr:nvSpPr>
        <xdr:cNvPr id="7" name="Rectangle: Rounded Corners 6">
          <a:extLst>
            <a:ext uri="{FF2B5EF4-FFF2-40B4-BE49-F238E27FC236}">
              <a16:creationId xmlns:a16="http://schemas.microsoft.com/office/drawing/2014/main" id="{29C21932-0BE9-724F-6C3B-A87CACB9E5F5}"/>
            </a:ext>
          </a:extLst>
        </xdr:cNvPr>
        <xdr:cNvSpPr/>
      </xdr:nvSpPr>
      <xdr:spPr>
        <a:xfrm>
          <a:off x="1287780" y="990600"/>
          <a:ext cx="2042160" cy="1287780"/>
        </a:xfrm>
        <a:prstGeom prst="roundRect">
          <a:avLst>
            <a:gd name="adj" fmla="val 442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388932</xdr:colOff>
      <xdr:row>5</xdr:row>
      <xdr:rowOff>60960</xdr:rowOff>
    </xdr:from>
    <xdr:to>
      <xdr:col>8</xdr:col>
      <xdr:colOff>563879</xdr:colOff>
      <xdr:row>12</xdr:row>
      <xdr:rowOff>68580</xdr:rowOff>
    </xdr:to>
    <xdr:sp macro="" textlink="">
      <xdr:nvSpPr>
        <xdr:cNvPr id="8" name="Rectangle: Rounded Corners 7">
          <a:extLst>
            <a:ext uri="{FF2B5EF4-FFF2-40B4-BE49-F238E27FC236}">
              <a16:creationId xmlns:a16="http://schemas.microsoft.com/office/drawing/2014/main" id="{B5F3F126-1BF4-7D4D-6D14-47C7A0088CFF}"/>
            </a:ext>
          </a:extLst>
        </xdr:cNvPr>
        <xdr:cNvSpPr/>
      </xdr:nvSpPr>
      <xdr:spPr>
        <a:xfrm>
          <a:off x="3436932" y="975360"/>
          <a:ext cx="2003747" cy="1287780"/>
        </a:xfrm>
        <a:prstGeom prst="roundRect">
          <a:avLst>
            <a:gd name="adj" fmla="val 442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68580</xdr:colOff>
      <xdr:row>5</xdr:row>
      <xdr:rowOff>83820</xdr:rowOff>
    </xdr:from>
    <xdr:to>
      <xdr:col>12</xdr:col>
      <xdr:colOff>289560</xdr:colOff>
      <xdr:row>12</xdr:row>
      <xdr:rowOff>91440</xdr:rowOff>
    </xdr:to>
    <xdr:sp macro="" textlink="">
      <xdr:nvSpPr>
        <xdr:cNvPr id="9" name="Rectangle: Rounded Corners 8">
          <a:extLst>
            <a:ext uri="{FF2B5EF4-FFF2-40B4-BE49-F238E27FC236}">
              <a16:creationId xmlns:a16="http://schemas.microsoft.com/office/drawing/2014/main" id="{0B207532-8A21-18BC-0A25-A957446C343B}"/>
            </a:ext>
          </a:extLst>
        </xdr:cNvPr>
        <xdr:cNvSpPr/>
      </xdr:nvSpPr>
      <xdr:spPr>
        <a:xfrm>
          <a:off x="5554980" y="998220"/>
          <a:ext cx="2049780" cy="1287780"/>
        </a:xfrm>
        <a:prstGeom prst="roundRect">
          <a:avLst>
            <a:gd name="adj" fmla="val 442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27</xdr:row>
      <xdr:rowOff>30480</xdr:rowOff>
    </xdr:from>
    <xdr:to>
      <xdr:col>1</xdr:col>
      <xdr:colOff>449580</xdr:colOff>
      <xdr:row>32</xdr:row>
      <xdr:rowOff>30480</xdr:rowOff>
    </xdr:to>
    <xdr:cxnSp macro="">
      <xdr:nvCxnSpPr>
        <xdr:cNvPr id="15" name="Straight Connector 14">
          <a:extLst>
            <a:ext uri="{FF2B5EF4-FFF2-40B4-BE49-F238E27FC236}">
              <a16:creationId xmlns:a16="http://schemas.microsoft.com/office/drawing/2014/main" id="{7BF2C841-A225-1687-5CDE-98F2E8131629}"/>
            </a:ext>
          </a:extLst>
        </xdr:cNvPr>
        <xdr:cNvCxnSpPr/>
      </xdr:nvCxnSpPr>
      <xdr:spPr>
        <a:xfrm>
          <a:off x="144780" y="4968240"/>
          <a:ext cx="914400" cy="914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12</xdr:col>
      <xdr:colOff>373380</xdr:colOff>
      <xdr:row>8</xdr:row>
      <xdr:rowOff>137160</xdr:rowOff>
    </xdr:from>
    <xdr:to>
      <xdr:col>20</xdr:col>
      <xdr:colOff>137160</xdr:colOff>
      <xdr:row>27</xdr:row>
      <xdr:rowOff>91440</xdr:rowOff>
    </xdr:to>
    <xdr:sp macro="" textlink="">
      <xdr:nvSpPr>
        <xdr:cNvPr id="22" name="Rectangle: Rounded Corners 21">
          <a:extLst>
            <a:ext uri="{FF2B5EF4-FFF2-40B4-BE49-F238E27FC236}">
              <a16:creationId xmlns:a16="http://schemas.microsoft.com/office/drawing/2014/main" id="{1DDF068A-6C65-F006-1F6B-CC798128033E}"/>
            </a:ext>
          </a:extLst>
        </xdr:cNvPr>
        <xdr:cNvSpPr/>
      </xdr:nvSpPr>
      <xdr:spPr>
        <a:xfrm>
          <a:off x="7688580" y="1600200"/>
          <a:ext cx="4640580" cy="3429000"/>
        </a:xfrm>
        <a:prstGeom prst="roundRect">
          <a:avLst>
            <a:gd name="adj" fmla="val 325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83820</xdr:colOff>
      <xdr:row>5</xdr:row>
      <xdr:rowOff>60960</xdr:rowOff>
    </xdr:from>
    <xdr:to>
      <xdr:col>5</xdr:col>
      <xdr:colOff>297180</xdr:colOff>
      <xdr:row>12</xdr:row>
      <xdr:rowOff>68580</xdr:rowOff>
    </xdr:to>
    <xdr:sp macro="" textlink="">
      <xdr:nvSpPr>
        <xdr:cNvPr id="23" name="Rectangle: Rounded Corners 22">
          <a:extLst>
            <a:ext uri="{FF2B5EF4-FFF2-40B4-BE49-F238E27FC236}">
              <a16:creationId xmlns:a16="http://schemas.microsoft.com/office/drawing/2014/main" id="{261E1078-7EE2-4897-02B8-25D9A0B2C333}"/>
            </a:ext>
          </a:extLst>
        </xdr:cNvPr>
        <xdr:cNvSpPr/>
      </xdr:nvSpPr>
      <xdr:spPr>
        <a:xfrm>
          <a:off x="1303020" y="975360"/>
          <a:ext cx="2042160" cy="1287780"/>
        </a:xfrm>
        <a:prstGeom prst="roundRect">
          <a:avLst>
            <a:gd name="adj" fmla="val 442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91440</xdr:colOff>
      <xdr:row>17</xdr:row>
      <xdr:rowOff>137160</xdr:rowOff>
    </xdr:from>
    <xdr:to>
      <xdr:col>12</xdr:col>
      <xdr:colOff>281940</xdr:colOff>
      <xdr:row>27</xdr:row>
      <xdr:rowOff>83820</xdr:rowOff>
    </xdr:to>
    <xdr:sp macro="" textlink="">
      <xdr:nvSpPr>
        <xdr:cNvPr id="24" name="Rectangle: Rounded Corners 23">
          <a:extLst>
            <a:ext uri="{FF2B5EF4-FFF2-40B4-BE49-F238E27FC236}">
              <a16:creationId xmlns:a16="http://schemas.microsoft.com/office/drawing/2014/main" id="{F0375FFE-D233-5CE7-3DB7-9D2801A666BA}"/>
            </a:ext>
          </a:extLst>
        </xdr:cNvPr>
        <xdr:cNvSpPr/>
      </xdr:nvSpPr>
      <xdr:spPr>
        <a:xfrm>
          <a:off x="1310640" y="3246120"/>
          <a:ext cx="6286500" cy="1775460"/>
        </a:xfrm>
        <a:prstGeom prst="roundRect">
          <a:avLst>
            <a:gd name="adj" fmla="val 263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441960</xdr:colOff>
      <xdr:row>1</xdr:row>
      <xdr:rowOff>106680</xdr:rowOff>
    </xdr:from>
    <xdr:to>
      <xdr:col>8</xdr:col>
      <xdr:colOff>556260</xdr:colOff>
      <xdr:row>3</xdr:row>
      <xdr:rowOff>45720</xdr:rowOff>
    </xdr:to>
    <xdr:sp macro="" textlink="">
      <xdr:nvSpPr>
        <xdr:cNvPr id="25" name="TextBox 24">
          <a:extLst>
            <a:ext uri="{FF2B5EF4-FFF2-40B4-BE49-F238E27FC236}">
              <a16:creationId xmlns:a16="http://schemas.microsoft.com/office/drawing/2014/main" id="{6B50BD59-DF76-D19D-A160-50F10FDBBB6F}"/>
            </a:ext>
          </a:extLst>
        </xdr:cNvPr>
        <xdr:cNvSpPr txBox="1"/>
      </xdr:nvSpPr>
      <xdr:spPr>
        <a:xfrm>
          <a:off x="1051560" y="289560"/>
          <a:ext cx="4381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Hospital</a:t>
          </a:r>
          <a:r>
            <a:rPr lang="en-IN" sz="2000" b="1" baseline="0"/>
            <a:t> Emergency Room Dashboard</a:t>
          </a:r>
          <a:endParaRPr lang="en-IN" sz="2000" b="1"/>
        </a:p>
      </xdr:txBody>
    </xdr:sp>
    <xdr:clientData/>
  </xdr:twoCellAnchor>
  <xdr:twoCellAnchor editAs="oneCell">
    <xdr:from>
      <xdr:col>0</xdr:col>
      <xdr:colOff>144779</xdr:colOff>
      <xdr:row>0</xdr:row>
      <xdr:rowOff>129540</xdr:rowOff>
    </xdr:from>
    <xdr:to>
      <xdr:col>1</xdr:col>
      <xdr:colOff>495300</xdr:colOff>
      <xdr:row>4</xdr:row>
      <xdr:rowOff>68580</xdr:rowOff>
    </xdr:to>
    <xdr:pic>
      <xdr:nvPicPr>
        <xdr:cNvPr id="27" name="Picture 26">
          <a:extLst>
            <a:ext uri="{FF2B5EF4-FFF2-40B4-BE49-F238E27FC236}">
              <a16:creationId xmlns:a16="http://schemas.microsoft.com/office/drawing/2014/main" id="{94128BBE-C8F3-1074-2839-B72EB800CD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845" t="13934" r="20813" b="13934"/>
        <a:stretch>
          <a:fillRect/>
        </a:stretch>
      </xdr:blipFill>
      <xdr:spPr>
        <a:xfrm>
          <a:off x="144779" y="129540"/>
          <a:ext cx="960121" cy="670560"/>
        </a:xfrm>
        <a:prstGeom prst="rect">
          <a:avLst/>
        </a:prstGeom>
      </xdr:spPr>
    </xdr:pic>
    <xdr:clientData/>
  </xdr:twoCellAnchor>
  <xdr:twoCellAnchor editAs="absolute">
    <xdr:from>
      <xdr:col>5</xdr:col>
      <xdr:colOff>495300</xdr:colOff>
      <xdr:row>8</xdr:row>
      <xdr:rowOff>15240</xdr:rowOff>
    </xdr:from>
    <xdr:to>
      <xdr:col>8</xdr:col>
      <xdr:colOff>419100</xdr:colOff>
      <xdr:row>9</xdr:row>
      <xdr:rowOff>7620</xdr:rowOff>
    </xdr:to>
    <xdr:sp macro="" textlink="">
      <xdr:nvSpPr>
        <xdr:cNvPr id="28" name="TextBox 27">
          <a:extLst>
            <a:ext uri="{FF2B5EF4-FFF2-40B4-BE49-F238E27FC236}">
              <a16:creationId xmlns:a16="http://schemas.microsoft.com/office/drawing/2014/main" id="{C9644688-3A02-3FCA-6CB1-F55F1AF59760}"/>
            </a:ext>
          </a:extLst>
        </xdr:cNvPr>
        <xdr:cNvSpPr txBox="1"/>
      </xdr:nvSpPr>
      <xdr:spPr>
        <a:xfrm>
          <a:off x="3543300" y="1478280"/>
          <a:ext cx="17526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Average Wait Time</a:t>
          </a:r>
        </a:p>
      </xdr:txBody>
    </xdr:sp>
    <xdr:clientData/>
  </xdr:twoCellAnchor>
  <xdr:twoCellAnchor editAs="absolute">
    <xdr:from>
      <xdr:col>2</xdr:col>
      <xdr:colOff>243840</xdr:colOff>
      <xdr:row>8</xdr:row>
      <xdr:rowOff>45720</xdr:rowOff>
    </xdr:from>
    <xdr:to>
      <xdr:col>5</xdr:col>
      <xdr:colOff>53340</xdr:colOff>
      <xdr:row>9</xdr:row>
      <xdr:rowOff>53340</xdr:rowOff>
    </xdr:to>
    <xdr:sp macro="" textlink="">
      <xdr:nvSpPr>
        <xdr:cNvPr id="29" name="TextBox 28">
          <a:extLst>
            <a:ext uri="{FF2B5EF4-FFF2-40B4-BE49-F238E27FC236}">
              <a16:creationId xmlns:a16="http://schemas.microsoft.com/office/drawing/2014/main" id="{B4A364D1-F061-7CF2-F945-97A53280CAEF}"/>
            </a:ext>
          </a:extLst>
        </xdr:cNvPr>
        <xdr:cNvSpPr txBox="1"/>
      </xdr:nvSpPr>
      <xdr:spPr>
        <a:xfrm>
          <a:off x="1463040" y="1508760"/>
          <a:ext cx="1638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No.</a:t>
          </a:r>
          <a:r>
            <a:rPr lang="en-IN" sz="1200" b="1" baseline="0"/>
            <a:t> of Patient</a:t>
          </a:r>
          <a:endParaRPr lang="en-IN" sz="1200" b="1"/>
        </a:p>
      </xdr:txBody>
    </xdr:sp>
    <xdr:clientData/>
  </xdr:twoCellAnchor>
  <xdr:twoCellAnchor editAs="absolute">
    <xdr:from>
      <xdr:col>2</xdr:col>
      <xdr:colOff>228600</xdr:colOff>
      <xdr:row>6</xdr:row>
      <xdr:rowOff>60960</xdr:rowOff>
    </xdr:from>
    <xdr:to>
      <xdr:col>5</xdr:col>
      <xdr:colOff>152400</xdr:colOff>
      <xdr:row>8</xdr:row>
      <xdr:rowOff>30480</xdr:rowOff>
    </xdr:to>
    <xdr:sp macro="" textlink="'Pivot report'!A2">
      <xdr:nvSpPr>
        <xdr:cNvPr id="30" name="TextBox 29">
          <a:extLst>
            <a:ext uri="{FF2B5EF4-FFF2-40B4-BE49-F238E27FC236}">
              <a16:creationId xmlns:a16="http://schemas.microsoft.com/office/drawing/2014/main" id="{EA93EB4B-5C27-B22E-08AF-190F445CC217}"/>
            </a:ext>
          </a:extLst>
        </xdr:cNvPr>
        <xdr:cNvSpPr txBox="1"/>
      </xdr:nvSpPr>
      <xdr:spPr>
        <a:xfrm>
          <a:off x="1447800" y="1158240"/>
          <a:ext cx="17526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3872A1F-428E-44DF-94D0-BD2092FD2C80}" type="TxLink">
            <a:rPr lang="en-US" sz="1600" b="0" i="0" u="none" strike="noStrike">
              <a:solidFill>
                <a:srgbClr val="000000"/>
              </a:solidFill>
              <a:latin typeface="Aptos Narrow"/>
            </a:rPr>
            <a:pPr algn="ctr"/>
            <a:t>494</a:t>
          </a:fld>
          <a:endParaRPr lang="en-IN" sz="1800" b="1"/>
        </a:p>
      </xdr:txBody>
    </xdr:sp>
    <xdr:clientData/>
  </xdr:twoCellAnchor>
  <xdr:twoCellAnchor editAs="absolute">
    <xdr:from>
      <xdr:col>9</xdr:col>
      <xdr:colOff>236220</xdr:colOff>
      <xdr:row>8</xdr:row>
      <xdr:rowOff>15240</xdr:rowOff>
    </xdr:from>
    <xdr:to>
      <xdr:col>12</xdr:col>
      <xdr:colOff>160020</xdr:colOff>
      <xdr:row>9</xdr:row>
      <xdr:rowOff>152400</xdr:rowOff>
    </xdr:to>
    <xdr:sp macro="" textlink="">
      <xdr:nvSpPr>
        <xdr:cNvPr id="13" name="TextBox 12">
          <a:extLst>
            <a:ext uri="{FF2B5EF4-FFF2-40B4-BE49-F238E27FC236}">
              <a16:creationId xmlns:a16="http://schemas.microsoft.com/office/drawing/2014/main" id="{58D351A6-572D-AA6E-E194-36A143B52C7C}"/>
            </a:ext>
          </a:extLst>
        </xdr:cNvPr>
        <xdr:cNvSpPr txBox="1"/>
      </xdr:nvSpPr>
      <xdr:spPr>
        <a:xfrm>
          <a:off x="5722620" y="1478280"/>
          <a:ext cx="17526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Patient Satisfaction Score</a:t>
          </a:r>
        </a:p>
      </xdr:txBody>
    </xdr:sp>
    <xdr:clientData/>
  </xdr:twoCellAnchor>
  <xdr:twoCellAnchor editAs="absolute">
    <xdr:from>
      <xdr:col>5</xdr:col>
      <xdr:colOff>541020</xdr:colOff>
      <xdr:row>6</xdr:row>
      <xdr:rowOff>60960</xdr:rowOff>
    </xdr:from>
    <xdr:to>
      <xdr:col>8</xdr:col>
      <xdr:colOff>464820</xdr:colOff>
      <xdr:row>8</xdr:row>
      <xdr:rowOff>30480</xdr:rowOff>
    </xdr:to>
    <xdr:sp macro="" textlink="'Pivot report'!A7">
      <xdr:nvSpPr>
        <xdr:cNvPr id="14" name="TextBox 13">
          <a:extLst>
            <a:ext uri="{FF2B5EF4-FFF2-40B4-BE49-F238E27FC236}">
              <a16:creationId xmlns:a16="http://schemas.microsoft.com/office/drawing/2014/main" id="{85DEB826-BF86-D116-2F34-D29C6427B86B}"/>
            </a:ext>
          </a:extLst>
        </xdr:cNvPr>
        <xdr:cNvSpPr txBox="1"/>
      </xdr:nvSpPr>
      <xdr:spPr>
        <a:xfrm>
          <a:off x="3589020" y="1158240"/>
          <a:ext cx="17526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13AD91A-BB4D-4F58-A9AE-C662142E8072}" type="TxLink">
            <a:rPr lang="en-US" sz="1600" b="0" i="0" u="none" strike="noStrike">
              <a:solidFill>
                <a:srgbClr val="000000"/>
              </a:solidFill>
              <a:latin typeface="Aptos Narrow"/>
            </a:rPr>
            <a:pPr algn="ctr"/>
            <a:t>36.39</a:t>
          </a:fld>
          <a:endParaRPr lang="en-IN" sz="2800" b="1"/>
        </a:p>
      </xdr:txBody>
    </xdr:sp>
    <xdr:clientData/>
  </xdr:twoCellAnchor>
  <xdr:twoCellAnchor editAs="absolute">
    <xdr:from>
      <xdr:col>9</xdr:col>
      <xdr:colOff>198120</xdr:colOff>
      <xdr:row>6</xdr:row>
      <xdr:rowOff>60960</xdr:rowOff>
    </xdr:from>
    <xdr:to>
      <xdr:col>12</xdr:col>
      <xdr:colOff>121920</xdr:colOff>
      <xdr:row>8</xdr:row>
      <xdr:rowOff>30480</xdr:rowOff>
    </xdr:to>
    <xdr:sp macro="" textlink="'Pivot report'!A12">
      <xdr:nvSpPr>
        <xdr:cNvPr id="16" name="TextBox 15">
          <a:extLst>
            <a:ext uri="{FF2B5EF4-FFF2-40B4-BE49-F238E27FC236}">
              <a16:creationId xmlns:a16="http://schemas.microsoft.com/office/drawing/2014/main" id="{7D824906-B5EF-9EA8-D28C-F4F66875BA9E}"/>
            </a:ext>
          </a:extLst>
        </xdr:cNvPr>
        <xdr:cNvSpPr txBox="1"/>
      </xdr:nvSpPr>
      <xdr:spPr>
        <a:xfrm>
          <a:off x="5684520" y="1158240"/>
          <a:ext cx="17526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EAAAFEC-0D4F-46E5-837A-89D093B99BDB}" type="TxLink">
            <a:rPr lang="en-US" sz="1600" b="0" i="0" u="none" strike="noStrike">
              <a:solidFill>
                <a:srgbClr val="000000"/>
              </a:solidFill>
              <a:latin typeface="Aptos Narrow"/>
            </a:rPr>
            <a:pPr algn="ctr"/>
            <a:t>5.06</a:t>
          </a:fld>
          <a:endParaRPr lang="en-IN" sz="2800" b="1"/>
        </a:p>
      </xdr:txBody>
    </xdr:sp>
    <xdr:clientData/>
  </xdr:twoCellAnchor>
  <xdr:twoCellAnchor editAs="oneCell">
    <xdr:from>
      <xdr:col>4</xdr:col>
      <xdr:colOff>259080</xdr:colOff>
      <xdr:row>6</xdr:row>
      <xdr:rowOff>22860</xdr:rowOff>
    </xdr:from>
    <xdr:to>
      <xdr:col>4</xdr:col>
      <xdr:colOff>601980</xdr:colOff>
      <xdr:row>8</xdr:row>
      <xdr:rowOff>0</xdr:rowOff>
    </xdr:to>
    <xdr:pic>
      <xdr:nvPicPr>
        <xdr:cNvPr id="20" name="Graphic 19" descr="Male profile with solid fill">
          <a:extLst>
            <a:ext uri="{FF2B5EF4-FFF2-40B4-BE49-F238E27FC236}">
              <a16:creationId xmlns:a16="http://schemas.microsoft.com/office/drawing/2014/main" id="{4F53045A-7D22-E85F-2ECF-E2B639442D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97480" y="1120140"/>
          <a:ext cx="342900" cy="342900"/>
        </a:xfrm>
        <a:prstGeom prst="rect">
          <a:avLst/>
        </a:prstGeom>
      </xdr:spPr>
    </xdr:pic>
    <xdr:clientData/>
  </xdr:twoCellAnchor>
  <xdr:twoCellAnchor editAs="oneCell">
    <xdr:from>
      <xdr:col>7</xdr:col>
      <xdr:colOff>579120</xdr:colOff>
      <xdr:row>6</xdr:row>
      <xdr:rowOff>15240</xdr:rowOff>
    </xdr:from>
    <xdr:to>
      <xdr:col>8</xdr:col>
      <xdr:colOff>320040</xdr:colOff>
      <xdr:row>8</xdr:row>
      <xdr:rowOff>0</xdr:rowOff>
    </xdr:to>
    <xdr:pic>
      <xdr:nvPicPr>
        <xdr:cNvPr id="31" name="Graphic 30" descr="Hourglass Finished with solid fill">
          <a:extLst>
            <a:ext uri="{FF2B5EF4-FFF2-40B4-BE49-F238E27FC236}">
              <a16:creationId xmlns:a16="http://schemas.microsoft.com/office/drawing/2014/main" id="{A2200BD0-9F98-3923-58C8-89EB10D88F2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4846320" y="1112520"/>
          <a:ext cx="350520" cy="350520"/>
        </a:xfrm>
        <a:prstGeom prst="rect">
          <a:avLst/>
        </a:prstGeom>
      </xdr:spPr>
    </xdr:pic>
    <xdr:clientData/>
  </xdr:twoCellAnchor>
  <xdr:twoCellAnchor editAs="oneCell">
    <xdr:from>
      <xdr:col>11</xdr:col>
      <xdr:colOff>150000</xdr:colOff>
      <xdr:row>5</xdr:row>
      <xdr:rowOff>142380</xdr:rowOff>
    </xdr:from>
    <xdr:to>
      <xdr:col>11</xdr:col>
      <xdr:colOff>548640</xdr:colOff>
      <xdr:row>7</xdr:row>
      <xdr:rowOff>175260</xdr:rowOff>
    </xdr:to>
    <xdr:pic>
      <xdr:nvPicPr>
        <xdr:cNvPr id="33" name="Graphic 32" descr="Star with solid fill">
          <a:extLst>
            <a:ext uri="{FF2B5EF4-FFF2-40B4-BE49-F238E27FC236}">
              <a16:creationId xmlns:a16="http://schemas.microsoft.com/office/drawing/2014/main" id="{B79B31F5-E903-89A8-25DD-44E1FBA360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55600" y="1056780"/>
          <a:ext cx="398640" cy="398640"/>
        </a:xfrm>
        <a:prstGeom prst="rect">
          <a:avLst/>
        </a:prstGeom>
      </xdr:spPr>
    </xdr:pic>
    <xdr:clientData/>
  </xdr:twoCellAnchor>
  <xdr:twoCellAnchor editAs="oneCell">
    <xdr:from>
      <xdr:col>0</xdr:col>
      <xdr:colOff>60960</xdr:colOff>
      <xdr:row>5</xdr:row>
      <xdr:rowOff>72840</xdr:rowOff>
    </xdr:from>
    <xdr:to>
      <xdr:col>1</xdr:col>
      <xdr:colOff>457200</xdr:colOff>
      <xdr:row>27</xdr:row>
      <xdr:rowOff>106680</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79993869-E5FA-4F0E-A38F-87421D4FE80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60" y="987240"/>
              <a:ext cx="1005840" cy="40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91440</xdr:colOff>
      <xdr:row>9</xdr:row>
      <xdr:rowOff>60960</xdr:rowOff>
    </xdr:from>
    <xdr:to>
      <xdr:col>5</xdr:col>
      <xdr:colOff>274320</xdr:colOff>
      <xdr:row>12</xdr:row>
      <xdr:rowOff>83820</xdr:rowOff>
    </xdr:to>
    <xdr:graphicFrame macro="">
      <xdr:nvGraphicFramePr>
        <xdr:cNvPr id="99" name="Chart 98">
          <a:hlinkClick xmlns:r="http://schemas.openxmlformats.org/officeDocument/2006/relationships" r:id="rId8"/>
          <a:extLst>
            <a:ext uri="{FF2B5EF4-FFF2-40B4-BE49-F238E27FC236}">
              <a16:creationId xmlns:a16="http://schemas.microsoft.com/office/drawing/2014/main" id="{D5F80EE8-B27D-50DA-2F03-5F29470CE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411480</xdr:colOff>
      <xdr:row>9</xdr:row>
      <xdr:rowOff>101092</xdr:rowOff>
    </xdr:from>
    <xdr:to>
      <xdr:col>8</xdr:col>
      <xdr:colOff>510540</xdr:colOff>
      <xdr:row>11</xdr:row>
      <xdr:rowOff>157988</xdr:rowOff>
    </xdr:to>
    <xdr:graphicFrame macro="">
      <xdr:nvGraphicFramePr>
        <xdr:cNvPr id="100" name="Chart 99">
          <a:hlinkClick xmlns:r="http://schemas.openxmlformats.org/officeDocument/2006/relationships" r:id="rId10"/>
          <a:extLst>
            <a:ext uri="{FF2B5EF4-FFF2-40B4-BE49-F238E27FC236}">
              <a16:creationId xmlns:a16="http://schemas.microsoft.com/office/drawing/2014/main" id="{20230A52-EEA5-4E99-808B-93E1EAA7C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99060</xdr:colOff>
      <xdr:row>9</xdr:row>
      <xdr:rowOff>91440</xdr:rowOff>
    </xdr:from>
    <xdr:to>
      <xdr:col>12</xdr:col>
      <xdr:colOff>266700</xdr:colOff>
      <xdr:row>12</xdr:row>
      <xdr:rowOff>38100</xdr:rowOff>
    </xdr:to>
    <xdr:graphicFrame macro="">
      <xdr:nvGraphicFramePr>
        <xdr:cNvPr id="101" name="Chart 100">
          <a:hlinkClick xmlns:r="http://schemas.openxmlformats.org/officeDocument/2006/relationships" r:id="rId12"/>
          <a:extLst>
            <a:ext uri="{FF2B5EF4-FFF2-40B4-BE49-F238E27FC236}">
              <a16:creationId xmlns:a16="http://schemas.microsoft.com/office/drawing/2014/main" id="{DD33A7B9-AEA1-49AE-B1BD-5D90DEE01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419100</xdr:colOff>
      <xdr:row>9</xdr:row>
      <xdr:rowOff>68580</xdr:rowOff>
    </xdr:from>
    <xdr:to>
      <xdr:col>8</xdr:col>
      <xdr:colOff>518160</xdr:colOff>
      <xdr:row>12</xdr:row>
      <xdr:rowOff>53340</xdr:rowOff>
    </xdr:to>
    <xdr:graphicFrame macro="">
      <xdr:nvGraphicFramePr>
        <xdr:cNvPr id="102" name="Chart 101">
          <a:hlinkClick xmlns:r="http://schemas.openxmlformats.org/officeDocument/2006/relationships" r:id="rId10"/>
          <a:extLst>
            <a:ext uri="{FF2B5EF4-FFF2-40B4-BE49-F238E27FC236}">
              <a16:creationId xmlns:a16="http://schemas.microsoft.com/office/drawing/2014/main" id="{7770BD1D-BFE6-D8FE-D7E8-2C6919E80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419100</xdr:colOff>
      <xdr:row>9</xdr:row>
      <xdr:rowOff>83820</xdr:rowOff>
    </xdr:from>
    <xdr:to>
      <xdr:col>8</xdr:col>
      <xdr:colOff>518160</xdr:colOff>
      <xdr:row>12</xdr:row>
      <xdr:rowOff>68580</xdr:rowOff>
    </xdr:to>
    <xdr:graphicFrame macro="">
      <xdr:nvGraphicFramePr>
        <xdr:cNvPr id="104" name="Chart 103">
          <a:hlinkClick xmlns:r="http://schemas.openxmlformats.org/officeDocument/2006/relationships" r:id="rId10"/>
          <a:extLst>
            <a:ext uri="{FF2B5EF4-FFF2-40B4-BE49-F238E27FC236}">
              <a16:creationId xmlns:a16="http://schemas.microsoft.com/office/drawing/2014/main" id="{C924D915-CA66-B371-C446-CB66F9B0E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419100</xdr:colOff>
      <xdr:row>10</xdr:row>
      <xdr:rowOff>2032</xdr:rowOff>
    </xdr:from>
    <xdr:to>
      <xdr:col>8</xdr:col>
      <xdr:colOff>518160</xdr:colOff>
      <xdr:row>12</xdr:row>
      <xdr:rowOff>58928</xdr:rowOff>
    </xdr:to>
    <xdr:graphicFrame macro="">
      <xdr:nvGraphicFramePr>
        <xdr:cNvPr id="106" name="Chart 105">
          <a:hlinkClick xmlns:r="http://schemas.openxmlformats.org/officeDocument/2006/relationships" r:id="rId10"/>
          <a:extLst>
            <a:ext uri="{FF2B5EF4-FFF2-40B4-BE49-F238E27FC236}">
              <a16:creationId xmlns:a16="http://schemas.microsoft.com/office/drawing/2014/main" id="{E4EFA4A6-9CEA-FBDE-3162-8AEA073D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60960</xdr:colOff>
          <xdr:row>12</xdr:row>
          <xdr:rowOff>167640</xdr:rowOff>
        </xdr:from>
        <xdr:to>
          <xdr:col>12</xdr:col>
          <xdr:colOff>281940</xdr:colOff>
          <xdr:row>17</xdr:row>
          <xdr:rowOff>68580</xdr:rowOff>
        </xdr:to>
        <xdr:pic>
          <xdr:nvPicPr>
            <xdr:cNvPr id="121" name="Picture 120">
              <a:extLst>
                <a:ext uri="{FF2B5EF4-FFF2-40B4-BE49-F238E27FC236}">
                  <a16:creationId xmlns:a16="http://schemas.microsoft.com/office/drawing/2014/main" id="{37CFC0C3-1F4F-F9C5-F97B-7AEC11095E8F}"/>
                </a:ext>
              </a:extLst>
            </xdr:cNvPr>
            <xdr:cNvPicPr>
              <a:picLocks noChangeAspect="1" noChangeArrowheads="1"/>
              <a:extLst>
                <a:ext uri="{84589F7E-364E-4C9E-8A38-B11213B215E9}">
                  <a14:cameraTool cellRange="'Pivot report'!$A$46:$E$48" spid="_x0000_s1102"/>
                </a:ext>
              </a:extLst>
            </xdr:cNvPicPr>
          </xdr:nvPicPr>
          <xdr:blipFill>
            <a:blip xmlns:r="http://schemas.openxmlformats.org/officeDocument/2006/relationships" r:embed="rId17"/>
            <a:srcRect/>
            <a:stretch>
              <a:fillRect/>
            </a:stretch>
          </xdr:blipFill>
          <xdr:spPr bwMode="auto">
            <a:xfrm>
              <a:off x="1280160" y="2362200"/>
              <a:ext cx="6316980" cy="81534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129540</xdr:colOff>
      <xdr:row>19</xdr:row>
      <xdr:rowOff>91440</xdr:rowOff>
    </xdr:from>
    <xdr:to>
      <xdr:col>12</xdr:col>
      <xdr:colOff>76200</xdr:colOff>
      <xdr:row>25</xdr:row>
      <xdr:rowOff>152400</xdr:rowOff>
    </xdr:to>
    <xdr:graphicFrame macro="">
      <xdr:nvGraphicFramePr>
        <xdr:cNvPr id="122" name="Chart 121">
          <a:extLst>
            <a:ext uri="{FF2B5EF4-FFF2-40B4-BE49-F238E27FC236}">
              <a16:creationId xmlns:a16="http://schemas.microsoft.com/office/drawing/2014/main" id="{DC8A7455-8BE4-429A-AB79-EC192E169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4</xdr:col>
      <xdr:colOff>586740</xdr:colOff>
      <xdr:row>26</xdr:row>
      <xdr:rowOff>45720</xdr:rowOff>
    </xdr:from>
    <xdr:to>
      <xdr:col>8</xdr:col>
      <xdr:colOff>502920</xdr:colOff>
      <xdr:row>27</xdr:row>
      <xdr:rowOff>68580</xdr:rowOff>
    </xdr:to>
    <xdr:sp macro="" textlink="">
      <xdr:nvSpPr>
        <xdr:cNvPr id="127" name="TextBox 126">
          <a:extLst>
            <a:ext uri="{FF2B5EF4-FFF2-40B4-BE49-F238E27FC236}">
              <a16:creationId xmlns:a16="http://schemas.microsoft.com/office/drawing/2014/main" id="{7EA549F5-E660-542C-7394-B8F0F0ACBE98}"/>
            </a:ext>
          </a:extLst>
        </xdr:cNvPr>
        <xdr:cNvSpPr txBox="1"/>
      </xdr:nvSpPr>
      <xdr:spPr>
        <a:xfrm>
          <a:off x="3025140" y="4800600"/>
          <a:ext cx="23545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No.</a:t>
          </a:r>
          <a:r>
            <a:rPr lang="en-IN" sz="1200" b="1" baseline="0"/>
            <a:t> of Patient by age group</a:t>
          </a:r>
          <a:endParaRPr lang="en-IN" sz="1200" b="1"/>
        </a:p>
      </xdr:txBody>
    </xdr:sp>
    <xdr:clientData/>
  </xdr:twoCellAnchor>
  <xdr:twoCellAnchor>
    <xdr:from>
      <xdr:col>12</xdr:col>
      <xdr:colOff>403860</xdr:colOff>
      <xdr:row>0</xdr:row>
      <xdr:rowOff>76200</xdr:rowOff>
    </xdr:from>
    <xdr:to>
      <xdr:col>16</xdr:col>
      <xdr:colOff>259080</xdr:colOff>
      <xdr:row>6</xdr:row>
      <xdr:rowOff>152400</xdr:rowOff>
    </xdr:to>
    <xdr:graphicFrame macro="">
      <xdr:nvGraphicFramePr>
        <xdr:cNvPr id="128" name="Chart 127">
          <a:extLst>
            <a:ext uri="{FF2B5EF4-FFF2-40B4-BE49-F238E27FC236}">
              <a16:creationId xmlns:a16="http://schemas.microsoft.com/office/drawing/2014/main" id="{4DEADA36-98D7-40ED-9416-E8DA17ADA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12</xdr:col>
      <xdr:colOff>449580</xdr:colOff>
      <xdr:row>7</xdr:row>
      <xdr:rowOff>7620</xdr:rowOff>
    </xdr:from>
    <xdr:to>
      <xdr:col>16</xdr:col>
      <xdr:colOff>182880</xdr:colOff>
      <xdr:row>8</xdr:row>
      <xdr:rowOff>15240</xdr:rowOff>
    </xdr:to>
    <xdr:sp macro="" textlink="">
      <xdr:nvSpPr>
        <xdr:cNvPr id="131" name="TextBox 130">
          <a:extLst>
            <a:ext uri="{FF2B5EF4-FFF2-40B4-BE49-F238E27FC236}">
              <a16:creationId xmlns:a16="http://schemas.microsoft.com/office/drawing/2014/main" id="{AA4073B1-D761-4A39-AD54-540EB67D2349}"/>
            </a:ext>
          </a:extLst>
        </xdr:cNvPr>
        <xdr:cNvSpPr txBox="1"/>
      </xdr:nvSpPr>
      <xdr:spPr>
        <a:xfrm>
          <a:off x="7764780" y="1287780"/>
          <a:ext cx="2171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Patient</a:t>
          </a:r>
          <a:r>
            <a:rPr lang="en-IN" sz="1200" b="1" baseline="0"/>
            <a:t> attending status</a:t>
          </a:r>
          <a:endParaRPr lang="en-IN" sz="1200" b="1"/>
        </a:p>
      </xdr:txBody>
    </xdr:sp>
    <xdr:clientData/>
  </xdr:twoCellAnchor>
  <xdr:twoCellAnchor>
    <xdr:from>
      <xdr:col>16</xdr:col>
      <xdr:colOff>342900</xdr:colOff>
      <xdr:row>0</xdr:row>
      <xdr:rowOff>68580</xdr:rowOff>
    </xdr:from>
    <xdr:to>
      <xdr:col>20</xdr:col>
      <xdr:colOff>60960</xdr:colOff>
      <xdr:row>6</xdr:row>
      <xdr:rowOff>156210</xdr:rowOff>
    </xdr:to>
    <xdr:graphicFrame macro="">
      <xdr:nvGraphicFramePr>
        <xdr:cNvPr id="132" name="Chart 131">
          <a:extLst>
            <a:ext uri="{FF2B5EF4-FFF2-40B4-BE49-F238E27FC236}">
              <a16:creationId xmlns:a16="http://schemas.microsoft.com/office/drawing/2014/main" id="{520D3F36-5652-46E5-9FEE-F214DD83D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16</xdr:col>
      <xdr:colOff>350520</xdr:colOff>
      <xdr:row>7</xdr:row>
      <xdr:rowOff>30480</xdr:rowOff>
    </xdr:from>
    <xdr:to>
      <xdr:col>20</xdr:col>
      <xdr:colOff>83820</xdr:colOff>
      <xdr:row>8</xdr:row>
      <xdr:rowOff>38100</xdr:rowOff>
    </xdr:to>
    <xdr:sp macro="" textlink="">
      <xdr:nvSpPr>
        <xdr:cNvPr id="133" name="TextBox 132">
          <a:extLst>
            <a:ext uri="{FF2B5EF4-FFF2-40B4-BE49-F238E27FC236}">
              <a16:creationId xmlns:a16="http://schemas.microsoft.com/office/drawing/2014/main" id="{49146AEE-C237-4073-A607-B952AD7CFBA7}"/>
            </a:ext>
          </a:extLst>
        </xdr:cNvPr>
        <xdr:cNvSpPr txBox="1"/>
      </xdr:nvSpPr>
      <xdr:spPr>
        <a:xfrm>
          <a:off x="10104120" y="1310640"/>
          <a:ext cx="2171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Patient</a:t>
          </a:r>
          <a:r>
            <a:rPr lang="en-IN" sz="1200" b="1" baseline="0"/>
            <a:t> by Gender</a:t>
          </a:r>
          <a:endParaRPr lang="en-IN" sz="1200" b="1"/>
        </a:p>
      </xdr:txBody>
    </xdr:sp>
    <xdr:clientData/>
  </xdr:twoCellAnchor>
  <xdr:twoCellAnchor>
    <xdr:from>
      <xdr:col>12</xdr:col>
      <xdr:colOff>381000</xdr:colOff>
      <xdr:row>8</xdr:row>
      <xdr:rowOff>137160</xdr:rowOff>
    </xdr:from>
    <xdr:to>
      <xdr:col>20</xdr:col>
      <xdr:colOff>76200</xdr:colOff>
      <xdr:row>25</xdr:row>
      <xdr:rowOff>38100</xdr:rowOff>
    </xdr:to>
    <xdr:graphicFrame macro="">
      <xdr:nvGraphicFramePr>
        <xdr:cNvPr id="134" name="Chart 133">
          <a:extLst>
            <a:ext uri="{FF2B5EF4-FFF2-40B4-BE49-F238E27FC236}">
              <a16:creationId xmlns:a16="http://schemas.microsoft.com/office/drawing/2014/main" id="{949F2049-D682-431C-B86B-22A491632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14</xdr:col>
      <xdr:colOff>22860</xdr:colOff>
      <xdr:row>25</xdr:row>
      <xdr:rowOff>152400</xdr:rowOff>
    </xdr:from>
    <xdr:to>
      <xdr:col>18</xdr:col>
      <xdr:colOff>449580</xdr:colOff>
      <xdr:row>26</xdr:row>
      <xdr:rowOff>144780</xdr:rowOff>
    </xdr:to>
    <xdr:sp macro="" textlink="">
      <xdr:nvSpPr>
        <xdr:cNvPr id="135" name="TextBox 134">
          <a:extLst>
            <a:ext uri="{FF2B5EF4-FFF2-40B4-BE49-F238E27FC236}">
              <a16:creationId xmlns:a16="http://schemas.microsoft.com/office/drawing/2014/main" id="{438D131D-3D31-459F-B4E2-D46C6ED11035}"/>
            </a:ext>
          </a:extLst>
        </xdr:cNvPr>
        <xdr:cNvSpPr txBox="1"/>
      </xdr:nvSpPr>
      <xdr:spPr>
        <a:xfrm>
          <a:off x="8557260" y="4724400"/>
          <a:ext cx="28651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No.</a:t>
          </a:r>
          <a:r>
            <a:rPr lang="en-IN" sz="1200" b="1" baseline="0"/>
            <a:t> of </a:t>
          </a:r>
          <a:r>
            <a:rPr lang="en-IN" sz="1200" b="1"/>
            <a:t>Patient</a:t>
          </a:r>
          <a:r>
            <a:rPr lang="en-IN" sz="1200" b="1" baseline="0"/>
            <a:t> by department referal</a:t>
          </a:r>
          <a:endParaRPr lang="en-IN" sz="1200" b="1"/>
        </a:p>
      </xdr:txBody>
    </xdr:sp>
    <xdr:clientData/>
  </xdr:twoCellAnchor>
  <xdr:twoCellAnchor editAs="oneCell">
    <xdr:from>
      <xdr:col>9</xdr:col>
      <xdr:colOff>190500</xdr:colOff>
      <xdr:row>1</xdr:row>
      <xdr:rowOff>30480</xdr:rowOff>
    </xdr:from>
    <xdr:to>
      <xdr:col>12</xdr:col>
      <xdr:colOff>190500</xdr:colOff>
      <xdr:row>4</xdr:row>
      <xdr:rowOff>45720</xdr:rowOff>
    </xdr:to>
    <mc:AlternateContent xmlns:mc="http://schemas.openxmlformats.org/markup-compatibility/2006" xmlns:a14="http://schemas.microsoft.com/office/drawing/2010/main">
      <mc:Choice Requires="a14">
        <xdr:graphicFrame macro="">
          <xdr:nvGraphicFramePr>
            <xdr:cNvPr id="136" name="Date (Year)">
              <a:extLst>
                <a:ext uri="{FF2B5EF4-FFF2-40B4-BE49-F238E27FC236}">
                  <a16:creationId xmlns:a16="http://schemas.microsoft.com/office/drawing/2014/main" id="{AC536315-D799-49A9-B6C2-C232130500C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676900" y="213360"/>
              <a:ext cx="182880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45720</xdr:rowOff>
    </xdr:from>
    <xdr:to>
      <xdr:col>18</xdr:col>
      <xdr:colOff>358140</xdr:colOff>
      <xdr:row>25</xdr:row>
      <xdr:rowOff>144780</xdr:rowOff>
    </xdr:to>
    <xdr:graphicFrame macro="">
      <xdr:nvGraphicFramePr>
        <xdr:cNvPr id="2" name="Chart 1">
          <a:extLst>
            <a:ext uri="{FF2B5EF4-FFF2-40B4-BE49-F238E27FC236}">
              <a16:creationId xmlns:a16="http://schemas.microsoft.com/office/drawing/2014/main" id="{F8C86B41-31D0-464F-9706-BD76855F6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27</xdr:row>
      <xdr:rowOff>22860</xdr:rowOff>
    </xdr:from>
    <xdr:to>
      <xdr:col>12</xdr:col>
      <xdr:colOff>502920</xdr:colOff>
      <xdr:row>29</xdr:row>
      <xdr:rowOff>30480</xdr:rowOff>
    </xdr:to>
    <xdr:sp macro="" textlink="">
      <xdr:nvSpPr>
        <xdr:cNvPr id="3" name="TextBox 2">
          <a:extLst>
            <a:ext uri="{FF2B5EF4-FFF2-40B4-BE49-F238E27FC236}">
              <a16:creationId xmlns:a16="http://schemas.microsoft.com/office/drawing/2014/main" id="{5EE52203-957C-4E45-4027-B2A19A81E363}"/>
            </a:ext>
          </a:extLst>
        </xdr:cNvPr>
        <xdr:cNvSpPr txBox="1"/>
      </xdr:nvSpPr>
      <xdr:spPr>
        <a:xfrm>
          <a:off x="3970020" y="4960620"/>
          <a:ext cx="38481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 waittime daily trends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0.00451</cdr:x>
      <cdr:y>0.01088</cdr:y>
    </cdr:from>
    <cdr:to>
      <cdr:x>0.06667</cdr:x>
      <cdr:y>0.16202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F4E36C5-5C0D-D583-CD40-A6B382F333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99570" cy="70601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22860</xdr:colOff>
      <xdr:row>0</xdr:row>
      <xdr:rowOff>30480</xdr:rowOff>
    </xdr:from>
    <xdr:to>
      <xdr:col>17</xdr:col>
      <xdr:colOff>533400</xdr:colOff>
      <xdr:row>23</xdr:row>
      <xdr:rowOff>152400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94086615-D324-4EBC-80E1-8EDDFFA5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518160</xdr:colOff>
      <xdr:row>26</xdr:row>
      <xdr:rowOff>15240</xdr:rowOff>
    </xdr:from>
    <xdr:to>
      <xdr:col>14</xdr:col>
      <xdr:colOff>30480</xdr:colOff>
      <xdr:row>27</xdr:row>
      <xdr:rowOff>76200</xdr:rowOff>
    </xdr:to>
    <xdr:sp macro="" textlink="">
      <xdr:nvSpPr>
        <xdr:cNvPr id="3" name="TextBox 2">
          <a:extLst>
            <a:ext uri="{FF2B5EF4-FFF2-40B4-BE49-F238E27FC236}">
              <a16:creationId xmlns:a16="http://schemas.microsoft.com/office/drawing/2014/main" id="{78CC9FC0-EA0D-2E00-3DC4-217EA55DF34D}"/>
            </a:ext>
          </a:extLst>
        </xdr:cNvPr>
        <xdr:cNvSpPr txBox="1"/>
      </xdr:nvSpPr>
      <xdr:spPr>
        <a:xfrm>
          <a:off x="4175760" y="4770120"/>
          <a:ext cx="43891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Daily</a:t>
          </a:r>
          <a:r>
            <a:rPr lang="en-IN" sz="1600" b="1" baseline="0"/>
            <a:t> Emergency </a:t>
          </a:r>
          <a:r>
            <a:rPr lang="en-IN" sz="1600" b="1"/>
            <a:t>No.</a:t>
          </a:r>
          <a:r>
            <a:rPr lang="en-IN" sz="1600" b="1" baseline="0"/>
            <a:t> </a:t>
          </a:r>
          <a:r>
            <a:rPr lang="en-IN" sz="1600" b="1"/>
            <a:t>of_Patient</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0.06434</cdr:x>
      <cdr:y>0.16312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E0EB573-4E25-3BF2-6BD7-CC3B2519A0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92216" cy="681153"/>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15240</xdr:rowOff>
    </xdr:from>
    <xdr:to>
      <xdr:col>20</xdr:col>
      <xdr:colOff>38100</xdr:colOff>
      <xdr:row>26</xdr:row>
      <xdr:rowOff>76200</xdr:rowOff>
    </xdr:to>
    <xdr:graphicFrame macro="">
      <xdr:nvGraphicFramePr>
        <xdr:cNvPr id="8" name="Chart 7">
          <a:extLst>
            <a:ext uri="{FF2B5EF4-FFF2-40B4-BE49-F238E27FC236}">
              <a16:creationId xmlns:a16="http://schemas.microsoft.com/office/drawing/2014/main" id="{6B3381BE-E960-462F-A733-44B301955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27</xdr:row>
      <xdr:rowOff>53340</xdr:rowOff>
    </xdr:from>
    <xdr:to>
      <xdr:col>13</xdr:col>
      <xdr:colOff>30480</xdr:colOff>
      <xdr:row>29</xdr:row>
      <xdr:rowOff>38100</xdr:rowOff>
    </xdr:to>
    <xdr:sp macro="" textlink="">
      <xdr:nvSpPr>
        <xdr:cNvPr id="2" name="TextBox 1">
          <a:extLst>
            <a:ext uri="{FF2B5EF4-FFF2-40B4-BE49-F238E27FC236}">
              <a16:creationId xmlns:a16="http://schemas.microsoft.com/office/drawing/2014/main" id="{1E53FF60-C921-E90F-CFA2-2C5113F2EB95}"/>
            </a:ext>
          </a:extLst>
        </xdr:cNvPr>
        <xdr:cNvSpPr txBox="1"/>
      </xdr:nvSpPr>
      <xdr:spPr>
        <a:xfrm>
          <a:off x="3383280" y="4991100"/>
          <a:ext cx="45720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Satisfaction score daily trends</a:t>
          </a:r>
        </a:p>
      </xdr:txBody>
    </xdr:sp>
    <xdr:clientData/>
  </xdr:twoCellAnchor>
</xdr:wsDr>
</file>

<file path=xl/drawings/drawing8.xml><?xml version="1.0" encoding="utf-8"?>
<c:userShapes xmlns:c="http://schemas.openxmlformats.org/drawingml/2006/chart">
  <cdr:relSizeAnchor xmlns:cdr="http://schemas.openxmlformats.org/drawingml/2006/chartDrawing">
    <cdr:from>
      <cdr:x>0.00415</cdr:x>
      <cdr:y>0.01055</cdr:y>
    </cdr:from>
    <cdr:to>
      <cdr:x>0.06135</cdr:x>
      <cdr:y>0.15715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E0BBD62-0849-A5EF-22A9-54BEBFF4A9B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99570" cy="706013"/>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497685189" backgroundQuery="1" createdVersion="8" refreshedVersion="8" minRefreshableVersion="3" recordCount="0" supportSubquery="1" supportAdvancedDrill="1" xr:uid="{11B18B50-2FE8-4ABF-8133-C9FF24ED84CF}">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497800927" backgroundQuery="1" createdVersion="8" refreshedVersion="8" minRefreshableVersion="3" recordCount="0" supportSubquery="1" supportAdvancedDrill="1" xr:uid="{D8B48C52-9816-42E3-80C5-7D2B54BDC50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498148151" backgroundQuery="1" createdVersion="8" refreshedVersion="8" minRefreshableVersion="3" recordCount="0" supportSubquery="1" supportAdvancedDrill="1" xr:uid="{ABA2D4FE-7B8C-4726-9307-EC5F1D896939}">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498379628" backgroundQuery="1" createdVersion="8" refreshedVersion="8" minRefreshableVersion="3" recordCount="0" supportSubquery="1" supportAdvancedDrill="1" xr:uid="{93B78727-7121-492A-A0B6-A9206B557DD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498958336" backgroundQuery="1" createdVersion="8" refreshedVersion="8" minRefreshableVersion="3" recordCount="0" supportSubquery="1" supportAdvancedDrill="1" xr:uid="{21ED18A3-8F97-4F21-B250-97F5D53E4F45}">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499537036" backgroundQuery="1" createdVersion="8" refreshedVersion="8" minRefreshableVersion="3" recordCount="0" supportSubquery="1" supportAdvancedDrill="1" xr:uid="{8AC01EC6-B537-4B49-A3D3-0D25D7B395DB}">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504050924" backgroundQuery="1" createdVersion="8" refreshedVersion="8" minRefreshableVersion="3" recordCount="0" supportSubquery="1" supportAdvancedDrill="1" xr:uid="{5DAF6450-6927-48E3-99AF-12AC19293032}">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504629632" backgroundQuery="1" createdVersion="8" refreshedVersion="8" minRefreshableVersion="3" recordCount="0" supportSubquery="1" supportAdvancedDrill="1" xr:uid="{ED0E696B-ABF7-41F8-A500-80D834C284F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505208332" backgroundQuery="1" createdVersion="8" refreshedVersion="8" minRefreshableVersion="3" recordCount="0" supportSubquery="1" supportAdvancedDrill="1" xr:uid="{27823527-80FD-4D03-B566-F10742FD72C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505671294" backgroundQuery="1" createdVersion="8" refreshedVersion="8" minRefreshableVersion="3" recordCount="0" supportSubquery="1" supportAdvancedDrill="1" xr:uid="{9B2CD4EE-2897-4E03-997D-6BF9C7BDA759}">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506250002" backgroundQuery="1" createdVersion="8" refreshedVersion="8" minRefreshableVersion="3" recordCount="0" supportSubquery="1" supportAdvancedDrill="1" xr:uid="{D0C08164-D70F-45A8-A52B-C3C5A2CD4CF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60506828703" backgroundQuery="1" createdVersion="8" refreshedVersion="8" minRefreshableVersion="3" recordCount="0" supportSubquery="1" supportAdvancedDrill="1" xr:uid="{23145F41-5696-4835-9960-1D63C081FE6E}">
  <cacheSource type="external" connectionId="3"/>
  <cacheFields count="4">
    <cacheField name="[Calendar_Table].[Date (Month)].[Date (Month)]" caption="Date (Month)" numFmtId="0" hierarchy="1" level="1">
      <sharedItems count="1">
        <s v="Dec"/>
      </sharedItems>
    </cacheField>
    <cacheField name="[Calenda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04.640645370368" backgroundQuery="1" createdVersion="3" refreshedVersion="8" minRefreshableVersion="3" recordCount="0" supportSubquery="1" supportAdvancedDrill="1" xr:uid="{1264EB70-AD8B-4A28-9175-D9C2903E1F7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992571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B3362-4ED3-4CC1-957D-D33B7D3A51E7}" name="PivotTable1" cacheId="168" applyNumberFormats="0" applyBorderFormats="0" applyFontFormats="0" applyPatternFormats="0" applyAlignmentFormats="0" applyWidthHeightFormats="1" dataCaption="Values" tag="97670324-89d1-4799-9e05-f250072723b3" updatedVersion="8" minRefreshableVersion="3"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D8B3D-C033-4E5F-8E9B-680DA59BEC80}" name="PivotTable2" cacheId="171" applyNumberFormats="0" applyBorderFormats="0" applyFontFormats="0" applyPatternFormats="0" applyAlignmentFormats="0" applyWidthHeightFormats="1" dataCaption="Values" tag="d9632579-05f4-4cea-b69b-5b48922898d5" updatedVersion="8" minRefreshableVersion="3" subtotalHiddenItems="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3">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8A4206-BA17-4410-9072-92B8BDD38FBF}" name="PivotTable6" cacheId="177" applyNumberFormats="0" applyBorderFormats="0" applyFontFormats="0" applyPatternFormats="0" applyAlignmentFormats="0" applyWidthHeightFormats="1" dataCaption="Values" tag="97670324-89d1-4799-9e05-f250072723b3" updatedVersion="8" minRefreshableVersion="3" subtotalHiddenItems="1" itemPrintTitles="1" createdVersion="8" indent="0" outline="1" outlineData="1" multipleFieldFilters="0" chartFormat="53" rowHeaderCaption="average waittime">
  <location ref="L1:M33"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64">
      <pivotArea outline="0" collapsedLevelsAreSubtotals="1" fieldPosition="0"/>
    </format>
  </formats>
  <chartFormats count="5">
    <chartFormat chart="42"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9" format="3"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41BBE0-8D26-4177-9B92-5F1E20D62D0B}" name="PivotTable4" cacheId="165" applyNumberFormats="0" applyBorderFormats="0" applyFontFormats="0" applyPatternFormats="0" applyAlignmentFormats="0" applyWidthHeightFormats="1" dataCaption="Values" tag="97670324-89d1-4799-9e05-f250072723b3" updatedVersion="8" minRefreshableVersion="3" subtotalHiddenItems="1" itemPrintTitles="1" createdVersion="8" indent="0" outline="1" outlineData="1" multipleFieldFilters="0" chartFormat="40" rowHeaderCaption="Daily trends no of patient ">
  <location ref="G3:H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4" format="3"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747DD3-90BE-47A2-B358-47FB0D607B60}" name="PivotTable3" cacheId="174"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5">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8F3587-1EF3-4567-BE5D-7C41267947C0}" name="PivotTable12" cacheId="192"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chartFormat="22">
  <location ref="D55:E5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66">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967F64-D702-4710-9748-23B20DDD0960}" name="PivotTable10" cacheId="186"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chartFormat="11">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6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858DEF-6EF8-44C8-97E4-FA257BE36CE8}" name="PivotTable9" cacheId="183"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chartFormat="9">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2">
      <pivotArea outline="0" collapsedLevelsAreSubtotals="1" fieldPosition="0"/>
    </format>
    <format dxfId="13">
      <pivotArea outline="0" fieldPosition="0">
        <references count="1">
          <reference field="4294967294" count="1">
            <x v="1"/>
          </reference>
        </references>
      </pivotArea>
    </format>
    <format dxfId="14">
      <pivotArea outline="0" collapsedLevelsAreSubtotals="1" fieldPosition="0">
        <references count="1">
          <reference field="4294967294" count="1" selected="0">
            <x v="0"/>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158B91-4F1F-4054-8B51-25A63966455C}" name="PivotTable7" cacheId="180" applyNumberFormats="0" applyBorderFormats="0" applyFontFormats="0" applyPatternFormats="0" applyAlignmentFormats="0" applyWidthHeightFormats="1" dataCaption="Values" tag="97670324-89d1-4799-9e05-f250072723b3" updatedVersion="8" minRefreshableVersion="3" subtotalHiddenItems="1" itemPrintTitles="1" createdVersion="8" indent="0" outline="1" outlineData="1" multipleFieldFilters="0" chartFormat="64" rowHeaderCaption="average waittime">
  <location ref="P2:Q34"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8">
      <pivotArea outline="0" collapsedLevelsAreSubtotals="1" fieldPosition="0"/>
    </format>
  </formats>
  <chartFormats count="2">
    <chartFormat chart="51" format="2" series="1">
      <pivotArea type="data" outline="0" fieldPosition="0">
        <references count="1">
          <reference field="4294967294" count="1" selected="0">
            <x v="0"/>
          </reference>
        </references>
      </pivotArea>
    </chartFormat>
    <chartFormat chart="6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804D04-6C31-42C0-B7F7-B9AAE638FE30}" name="PivotTable14" cacheId="198"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chartFormat="11">
  <location ref="A63:A6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9">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A258AD-5CF9-4361-98A0-074B70C320E0}" name="PivotTable13" cacheId="195"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chartFormat="27">
  <location ref="D61:E7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70">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6772E9-29D6-4F18-9296-28DE75BEC242}" name="PivotTable11" cacheId="189" applyNumberFormats="0" applyBorderFormats="0" applyFontFormats="0" applyPatternFormats="0" applyAlignmentFormats="0" applyWidthHeightFormats="1" dataCaption="Values" tag="f10dd424-ccd9-4e69-a589-a38a9b605b8f" updatedVersion="8" minRefreshableVersion="3" subtotalHiddenItems="1" itemPrintTitles="1" createdVersion="8" indent="0" outline="1" outlineData="1" multipleFieldFilters="0" chartFormat="18">
  <location ref="E50:F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71">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30C90C3-1404-4D34-BDAE-83D98E35C62D}" sourceName="[Calendar_Table].[Date (Month)]">
  <pivotTables>
    <pivotTable tabId="1" name="PivotTable4"/>
    <pivotTable tabId="1" name="PivotTable1"/>
    <pivotTable tabId="1" name="PivotTable2"/>
    <pivotTable tabId="1" name="PivotTable3"/>
    <pivotTable tabId="1" name="PivotTable6"/>
    <pivotTable tabId="1" name="PivotTable7"/>
    <pivotTable tabId="1" name="PivotTable9"/>
    <pivotTable tabId="1" name="PivotTable10"/>
    <pivotTable tabId="1" name="PivotTable11"/>
    <pivotTable tabId="1" name="PivotTable12"/>
    <pivotTable tabId="1" name="PivotTable13"/>
    <pivotTable tabId="1" name="PivotTable14"/>
  </pivotTables>
  <data>
    <olap pivotCacheId="179925710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1841427-2A53-475C-92AD-99D71CA379F2}" sourceName="[Calenda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9"/>
  </pivotTables>
  <data>
    <olap pivotCacheId="179925710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4864DB3-F189-4065-89EB-AFB423369A6C}" cache="Slicer_Date__Month" caption="Date (Month)" showCaption="0" level="1" style="mystyel" rowHeight="288000"/>
  <slicer name="Date (Year)" xr10:uid="{7A6372B7-767A-4B48-A7CA-747E0309CB2E}" cache="Slicer_Date__Year" caption="Date (Year)" columnCount="2" showCaption="0" level="1" style="mystyel"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5E306-E616-4DE2-9EDD-DE2B9BF87203}">
  <dimension ref="A1:Q70"/>
  <sheetViews>
    <sheetView topLeftCell="A41" workbookViewId="0">
      <selection activeCell="H46" sqref="H46"/>
    </sheetView>
  </sheetViews>
  <sheetFormatPr defaultRowHeight="14.4" x14ac:dyDescent="0.3"/>
  <cols>
    <col min="1" max="1" width="20.21875" customWidth="1"/>
    <col min="2" max="2" width="17.21875" customWidth="1"/>
    <col min="3" max="3" width="12.6640625" customWidth="1"/>
    <col min="4" max="4" width="18.33203125" customWidth="1"/>
    <col min="7" max="7" width="12.44140625" bestFit="1" customWidth="1"/>
    <col min="8" max="8" width="23.33203125" bestFit="1" customWidth="1"/>
  </cols>
  <sheetData>
    <row r="1" spans="1:17" x14ac:dyDescent="0.3">
      <c r="A1" t="s">
        <v>0</v>
      </c>
      <c r="L1" s="3" t="s">
        <v>7</v>
      </c>
      <c r="M1" t="s">
        <v>1</v>
      </c>
    </row>
    <row r="2" spans="1:17" x14ac:dyDescent="0.3">
      <c r="A2" s="13">
        <v>494</v>
      </c>
      <c r="L2" s="4" t="s">
        <v>39</v>
      </c>
      <c r="M2" s="1">
        <v>35.714285714285715</v>
      </c>
      <c r="P2" s="3" t="s">
        <v>7</v>
      </c>
      <c r="Q2" t="s">
        <v>2</v>
      </c>
    </row>
    <row r="3" spans="1:17" x14ac:dyDescent="0.3">
      <c r="G3" s="3" t="s">
        <v>6</v>
      </c>
      <c r="H3" t="s">
        <v>0</v>
      </c>
      <c r="L3" s="4" t="s">
        <v>40</v>
      </c>
      <c r="M3" s="1">
        <v>38.533333333333331</v>
      </c>
      <c r="P3" s="4" t="s">
        <v>39</v>
      </c>
      <c r="Q3" s="1">
        <v>8</v>
      </c>
    </row>
    <row r="4" spans="1:17" x14ac:dyDescent="0.3">
      <c r="G4" s="4" t="s">
        <v>39</v>
      </c>
      <c r="H4" s="13">
        <v>14</v>
      </c>
      <c r="L4" s="4" t="s">
        <v>41</v>
      </c>
      <c r="M4" s="1">
        <v>38.941176470588232</v>
      </c>
      <c r="P4" s="4" t="s">
        <v>40</v>
      </c>
      <c r="Q4" s="1">
        <v>4</v>
      </c>
    </row>
    <row r="5" spans="1:17" x14ac:dyDescent="0.3">
      <c r="G5" s="4" t="s">
        <v>40</v>
      </c>
      <c r="H5" s="13">
        <v>15</v>
      </c>
      <c r="L5" s="4" t="s">
        <v>42</v>
      </c>
      <c r="M5" s="1">
        <v>35.666666666666664</v>
      </c>
      <c r="P5" s="4" t="s">
        <v>41</v>
      </c>
      <c r="Q5" s="1">
        <v>5.333333333333333</v>
      </c>
    </row>
    <row r="6" spans="1:17" x14ac:dyDescent="0.3">
      <c r="A6" t="s">
        <v>1</v>
      </c>
      <c r="G6" s="4" t="s">
        <v>41</v>
      </c>
      <c r="H6" s="13">
        <v>17</v>
      </c>
      <c r="L6" s="4" t="s">
        <v>43</v>
      </c>
      <c r="M6" s="1">
        <v>39.478260869565219</v>
      </c>
      <c r="P6" s="4" t="s">
        <v>42</v>
      </c>
      <c r="Q6" s="1">
        <v>4.666666666666667</v>
      </c>
    </row>
    <row r="7" spans="1:17" x14ac:dyDescent="0.3">
      <c r="A7" s="1">
        <v>36.392712550607285</v>
      </c>
      <c r="G7" s="4" t="s">
        <v>42</v>
      </c>
      <c r="H7" s="13">
        <v>12</v>
      </c>
      <c r="L7" s="4" t="s">
        <v>44</v>
      </c>
      <c r="M7" s="1">
        <v>25.1</v>
      </c>
      <c r="P7" s="4" t="s">
        <v>43</v>
      </c>
      <c r="Q7" s="1">
        <v>6.2</v>
      </c>
    </row>
    <row r="8" spans="1:17" x14ac:dyDescent="0.3">
      <c r="G8" s="4" t="s">
        <v>43</v>
      </c>
      <c r="H8" s="13">
        <v>23</v>
      </c>
      <c r="L8" s="4" t="s">
        <v>45</v>
      </c>
      <c r="M8" s="1">
        <v>43.666666666666664</v>
      </c>
      <c r="P8" s="4" t="s">
        <v>44</v>
      </c>
      <c r="Q8" s="1">
        <v>6.333333333333333</v>
      </c>
    </row>
    <row r="9" spans="1:17" x14ac:dyDescent="0.3">
      <c r="G9" s="4" t="s">
        <v>44</v>
      </c>
      <c r="H9" s="13">
        <v>10</v>
      </c>
      <c r="L9" s="4" t="s">
        <v>46</v>
      </c>
      <c r="M9" s="1">
        <v>38.090909090909093</v>
      </c>
      <c r="P9" s="4" t="s">
        <v>45</v>
      </c>
      <c r="Q9" s="1">
        <v>9.5</v>
      </c>
    </row>
    <row r="10" spans="1:17" x14ac:dyDescent="0.3">
      <c r="G10" s="4" t="s">
        <v>45</v>
      </c>
      <c r="H10" s="13">
        <v>18</v>
      </c>
      <c r="L10" s="4" t="s">
        <v>47</v>
      </c>
      <c r="M10" s="1">
        <v>28.25</v>
      </c>
      <c r="P10" s="4" t="s">
        <v>46</v>
      </c>
      <c r="Q10" s="1">
        <v>2</v>
      </c>
    </row>
    <row r="11" spans="1:17" x14ac:dyDescent="0.3">
      <c r="A11" t="s">
        <v>2</v>
      </c>
      <c r="G11" s="4" t="s">
        <v>46</v>
      </c>
      <c r="H11" s="13">
        <v>11</v>
      </c>
      <c r="L11" s="4" t="s">
        <v>48</v>
      </c>
      <c r="M11" s="1">
        <v>36.291666666666664</v>
      </c>
      <c r="P11" s="4" t="s">
        <v>47</v>
      </c>
      <c r="Q11" s="1">
        <v>6.666666666666667</v>
      </c>
    </row>
    <row r="12" spans="1:17" x14ac:dyDescent="0.3">
      <c r="A12" s="1">
        <v>5.0629921259842519</v>
      </c>
      <c r="G12" s="4" t="s">
        <v>47</v>
      </c>
      <c r="H12" s="13">
        <v>12</v>
      </c>
      <c r="L12" s="4" t="s">
        <v>49</v>
      </c>
      <c r="M12" s="1">
        <v>31.875</v>
      </c>
      <c r="P12" s="4" t="s">
        <v>48</v>
      </c>
      <c r="Q12" s="1">
        <v>2.25</v>
      </c>
    </row>
    <row r="13" spans="1:17" x14ac:dyDescent="0.3">
      <c r="G13" s="4" t="s">
        <v>48</v>
      </c>
      <c r="H13" s="13">
        <v>24</v>
      </c>
      <c r="L13" s="4" t="s">
        <v>50</v>
      </c>
      <c r="M13" s="1">
        <v>32.333333333333336</v>
      </c>
      <c r="P13" s="4" t="s">
        <v>49</v>
      </c>
      <c r="Q13" s="1">
        <v>3</v>
      </c>
    </row>
    <row r="14" spans="1:17" x14ac:dyDescent="0.3">
      <c r="G14" s="4" t="s">
        <v>49</v>
      </c>
      <c r="H14" s="13">
        <v>16</v>
      </c>
      <c r="L14" s="4" t="s">
        <v>51</v>
      </c>
      <c r="M14" s="1">
        <v>36.3125</v>
      </c>
      <c r="P14" s="4" t="s">
        <v>50</v>
      </c>
      <c r="Q14" s="1">
        <v>4.7142857142857144</v>
      </c>
    </row>
    <row r="15" spans="1:17" x14ac:dyDescent="0.3">
      <c r="G15" s="4" t="s">
        <v>50</v>
      </c>
      <c r="H15" s="13">
        <v>21</v>
      </c>
      <c r="L15" s="4" t="s">
        <v>52</v>
      </c>
      <c r="M15" s="1">
        <v>41.133333333333333</v>
      </c>
      <c r="P15" s="4" t="s">
        <v>51</v>
      </c>
      <c r="Q15" s="1">
        <v>10</v>
      </c>
    </row>
    <row r="16" spans="1:17" x14ac:dyDescent="0.3">
      <c r="G16" s="4" t="s">
        <v>51</v>
      </c>
      <c r="H16" s="13">
        <v>16</v>
      </c>
      <c r="L16" s="4" t="s">
        <v>53</v>
      </c>
      <c r="M16" s="1">
        <v>32.071428571428569</v>
      </c>
      <c r="P16" s="4" t="s">
        <v>52</v>
      </c>
      <c r="Q16" s="1">
        <v>5.666666666666667</v>
      </c>
    </row>
    <row r="17" spans="7:17" x14ac:dyDescent="0.3">
      <c r="G17" s="4" t="s">
        <v>52</v>
      </c>
      <c r="H17" s="13">
        <v>15</v>
      </c>
      <c r="L17" s="4" t="s">
        <v>54</v>
      </c>
      <c r="M17" s="1">
        <v>34.222222222222221</v>
      </c>
      <c r="P17" s="4" t="s">
        <v>53</v>
      </c>
      <c r="Q17" s="1">
        <v>5</v>
      </c>
    </row>
    <row r="18" spans="7:17" x14ac:dyDescent="0.3">
      <c r="G18" s="4" t="s">
        <v>53</v>
      </c>
      <c r="H18" s="13">
        <v>14</v>
      </c>
      <c r="L18" s="4" t="s">
        <v>55</v>
      </c>
      <c r="M18" s="1">
        <v>43.666666666666664</v>
      </c>
      <c r="P18" s="4" t="s">
        <v>54</v>
      </c>
      <c r="Q18" s="1">
        <v>3</v>
      </c>
    </row>
    <row r="19" spans="7:17" x14ac:dyDescent="0.3">
      <c r="G19" s="4" t="s">
        <v>54</v>
      </c>
      <c r="H19" s="13">
        <v>18</v>
      </c>
      <c r="L19" s="4" t="s">
        <v>56</v>
      </c>
      <c r="M19" s="1">
        <v>38.5</v>
      </c>
      <c r="P19" s="4" t="s">
        <v>55</v>
      </c>
      <c r="Q19" s="1">
        <v>5.333333333333333</v>
      </c>
    </row>
    <row r="20" spans="7:17" x14ac:dyDescent="0.3">
      <c r="G20" s="4" t="s">
        <v>55</v>
      </c>
      <c r="H20" s="13">
        <v>12</v>
      </c>
      <c r="L20" s="4" t="s">
        <v>57</v>
      </c>
      <c r="M20" s="1">
        <v>32.6875</v>
      </c>
      <c r="P20" s="4" t="s">
        <v>56</v>
      </c>
      <c r="Q20" s="1">
        <v>5.833333333333333</v>
      </c>
    </row>
    <row r="21" spans="7:17" x14ac:dyDescent="0.3">
      <c r="G21" s="4" t="s">
        <v>56</v>
      </c>
      <c r="H21" s="13">
        <v>18</v>
      </c>
      <c r="L21" s="4" t="s">
        <v>58</v>
      </c>
      <c r="M21" s="1">
        <v>41.045454545454547</v>
      </c>
      <c r="P21" s="4" t="s">
        <v>57</v>
      </c>
      <c r="Q21" s="1">
        <v>5.8</v>
      </c>
    </row>
    <row r="22" spans="7:17" x14ac:dyDescent="0.3">
      <c r="G22" s="4" t="s">
        <v>57</v>
      </c>
      <c r="H22" s="13">
        <v>16</v>
      </c>
      <c r="L22" s="4" t="s">
        <v>59</v>
      </c>
      <c r="M22" s="1">
        <v>36.6875</v>
      </c>
      <c r="P22" s="4" t="s">
        <v>58</v>
      </c>
      <c r="Q22" s="1">
        <v>5.2</v>
      </c>
    </row>
    <row r="23" spans="7:17" x14ac:dyDescent="0.3">
      <c r="G23" s="4" t="s">
        <v>58</v>
      </c>
      <c r="H23" s="13">
        <v>22</v>
      </c>
      <c r="L23" s="4" t="s">
        <v>60</v>
      </c>
      <c r="M23" s="1">
        <v>38.5</v>
      </c>
      <c r="P23" s="4" t="s">
        <v>59</v>
      </c>
      <c r="Q23" s="1">
        <v>4.5</v>
      </c>
    </row>
    <row r="24" spans="7:17" x14ac:dyDescent="0.3">
      <c r="G24" s="4" t="s">
        <v>59</v>
      </c>
      <c r="H24" s="13">
        <v>16</v>
      </c>
      <c r="L24" s="4" t="s">
        <v>61</v>
      </c>
      <c r="M24" s="1">
        <v>33.777777777777779</v>
      </c>
      <c r="P24" s="4" t="s">
        <v>60</v>
      </c>
      <c r="Q24" s="1">
        <v>6</v>
      </c>
    </row>
    <row r="25" spans="7:17" x14ac:dyDescent="0.3">
      <c r="G25" s="4" t="s">
        <v>60</v>
      </c>
      <c r="H25" s="13">
        <v>10</v>
      </c>
      <c r="L25" s="4" t="s">
        <v>62</v>
      </c>
      <c r="M25" s="1">
        <v>41.692307692307693</v>
      </c>
      <c r="P25" s="4" t="s">
        <v>61</v>
      </c>
      <c r="Q25" s="1">
        <v>6.5</v>
      </c>
    </row>
    <row r="26" spans="7:17" x14ac:dyDescent="0.3">
      <c r="G26" s="4" t="s">
        <v>61</v>
      </c>
      <c r="H26" s="13">
        <v>18</v>
      </c>
      <c r="L26" s="4" t="s">
        <v>63</v>
      </c>
      <c r="M26" s="1">
        <v>31.7</v>
      </c>
      <c r="P26" s="4" t="s">
        <v>62</v>
      </c>
      <c r="Q26" s="1">
        <v>4.166666666666667</v>
      </c>
    </row>
    <row r="27" spans="7:17" x14ac:dyDescent="0.3">
      <c r="G27" s="4" t="s">
        <v>62</v>
      </c>
      <c r="H27" s="13">
        <v>13</v>
      </c>
      <c r="L27" s="4" t="s">
        <v>64</v>
      </c>
      <c r="M27" s="1">
        <v>36.470588235294116</v>
      </c>
      <c r="P27" s="4" t="s">
        <v>63</v>
      </c>
      <c r="Q27" s="1">
        <v>3.6666666666666665</v>
      </c>
    </row>
    <row r="28" spans="7:17" x14ac:dyDescent="0.3">
      <c r="G28" s="4" t="s">
        <v>63</v>
      </c>
      <c r="H28" s="13">
        <v>20</v>
      </c>
      <c r="L28" s="4" t="s">
        <v>65</v>
      </c>
      <c r="M28" s="1">
        <v>37.210526315789473</v>
      </c>
      <c r="P28" s="4" t="s">
        <v>64</v>
      </c>
      <c r="Q28" s="1">
        <v>3.5</v>
      </c>
    </row>
    <row r="29" spans="7:17" x14ac:dyDescent="0.3">
      <c r="G29" s="4" t="s">
        <v>64</v>
      </c>
      <c r="H29" s="13">
        <v>17</v>
      </c>
      <c r="L29" s="4" t="s">
        <v>66</v>
      </c>
      <c r="M29" s="1">
        <v>36.294117647058826</v>
      </c>
      <c r="P29" s="4" t="s">
        <v>65</v>
      </c>
      <c r="Q29" s="1">
        <v>6</v>
      </c>
    </row>
    <row r="30" spans="7:17" x14ac:dyDescent="0.3">
      <c r="G30" s="4" t="s">
        <v>65</v>
      </c>
      <c r="H30" s="13">
        <v>19</v>
      </c>
      <c r="L30" s="4" t="s">
        <v>67</v>
      </c>
      <c r="M30" s="1">
        <v>32</v>
      </c>
      <c r="P30" s="4" t="s">
        <v>66</v>
      </c>
      <c r="Q30" s="1">
        <v>5.1428571428571432</v>
      </c>
    </row>
    <row r="31" spans="7:17" x14ac:dyDescent="0.3">
      <c r="G31" s="4" t="s">
        <v>66</v>
      </c>
      <c r="H31" s="13">
        <v>17</v>
      </c>
      <c r="L31" s="4" t="s">
        <v>68</v>
      </c>
      <c r="M31" s="1">
        <v>41.444444444444443</v>
      </c>
      <c r="P31" s="4" t="s">
        <v>67</v>
      </c>
      <c r="Q31" s="1">
        <v>4</v>
      </c>
    </row>
    <row r="32" spans="7:17" x14ac:dyDescent="0.3">
      <c r="G32" s="4" t="s">
        <v>67</v>
      </c>
      <c r="H32" s="13">
        <v>22</v>
      </c>
      <c r="L32" s="4" t="s">
        <v>69</v>
      </c>
      <c r="M32" s="1">
        <v>40.444444444444443</v>
      </c>
      <c r="P32" s="4" t="s">
        <v>68</v>
      </c>
      <c r="Q32" s="1">
        <v>3.5</v>
      </c>
    </row>
    <row r="33" spans="1:17" x14ac:dyDescent="0.3">
      <c r="G33" s="4" t="s">
        <v>68</v>
      </c>
      <c r="H33" s="13">
        <v>9</v>
      </c>
      <c r="L33" s="4" t="s">
        <v>4</v>
      </c>
      <c r="M33" s="1">
        <v>36.392712550607285</v>
      </c>
      <c r="P33" s="4" t="s">
        <v>69</v>
      </c>
      <c r="Q33" s="1">
        <v>5</v>
      </c>
    </row>
    <row r="34" spans="1:17" x14ac:dyDescent="0.3">
      <c r="G34" s="4" t="s">
        <v>69</v>
      </c>
      <c r="H34" s="13">
        <v>9</v>
      </c>
      <c r="P34" s="4" t="s">
        <v>4</v>
      </c>
      <c r="Q34" s="1">
        <v>5.0629921259842519</v>
      </c>
    </row>
    <row r="35" spans="1:17" x14ac:dyDescent="0.3">
      <c r="G35" s="4" t="s">
        <v>4</v>
      </c>
      <c r="H35" s="13">
        <v>494</v>
      </c>
    </row>
    <row r="40" spans="1:17" x14ac:dyDescent="0.3">
      <c r="A40" s="3" t="s">
        <v>3</v>
      </c>
      <c r="B40" t="s">
        <v>8</v>
      </c>
      <c r="C40" t="s">
        <v>14</v>
      </c>
    </row>
    <row r="41" spans="1:17" x14ac:dyDescent="0.3">
      <c r="A41" s="4" t="s">
        <v>9</v>
      </c>
      <c r="B41" s="7">
        <v>234</v>
      </c>
      <c r="C41" s="6">
        <v>0.47368421052631576</v>
      </c>
    </row>
    <row r="42" spans="1:17" x14ac:dyDescent="0.3">
      <c r="A42" s="4" t="s">
        <v>10</v>
      </c>
      <c r="B42" s="7">
        <v>260</v>
      </c>
      <c r="C42" s="6">
        <v>0.52631578947368418</v>
      </c>
    </row>
    <row r="43" spans="1:17" x14ac:dyDescent="0.3">
      <c r="A43" s="4" t="s">
        <v>4</v>
      </c>
      <c r="B43" s="7">
        <v>494</v>
      </c>
      <c r="C43" s="6">
        <v>1</v>
      </c>
    </row>
    <row r="46" spans="1:17" ht="16.8" customHeight="1" x14ac:dyDescent="0.35">
      <c r="A46" s="9" t="s">
        <v>15</v>
      </c>
      <c r="B46" s="10" t="s">
        <v>17</v>
      </c>
      <c r="C46" s="10" t="s">
        <v>16</v>
      </c>
      <c r="D46" s="8"/>
      <c r="E46" s="8"/>
    </row>
    <row r="47" spans="1:17" x14ac:dyDescent="0.3">
      <c r="A47" s="11" t="str">
        <f>A42</f>
        <v>Not Admitted</v>
      </c>
      <c r="B47" s="11">
        <f>B42</f>
        <v>260</v>
      </c>
      <c r="C47" s="12">
        <f>C42</f>
        <v>0.52631578947368418</v>
      </c>
      <c r="D47" s="5"/>
      <c r="E47" s="5"/>
    </row>
    <row r="48" spans="1:17" x14ac:dyDescent="0.3">
      <c r="A48" s="11" t="str">
        <f>A41</f>
        <v>Admitted</v>
      </c>
      <c r="B48" s="11">
        <f>B41</f>
        <v>234</v>
      </c>
      <c r="C48" s="12">
        <f>C41</f>
        <v>0.47368421052631576</v>
      </c>
      <c r="D48" s="5"/>
      <c r="E48" s="5"/>
    </row>
    <row r="50" spans="1:6" x14ac:dyDescent="0.3">
      <c r="E50" s="3" t="s">
        <v>3</v>
      </c>
      <c r="F50" t="s">
        <v>11</v>
      </c>
    </row>
    <row r="51" spans="1:6" x14ac:dyDescent="0.3">
      <c r="A51" s="3" t="s">
        <v>3</v>
      </c>
      <c r="B51" t="s">
        <v>26</v>
      </c>
      <c r="E51" s="4" t="s">
        <v>12</v>
      </c>
      <c r="F51" s="7">
        <v>307</v>
      </c>
    </row>
    <row r="52" spans="1:6" x14ac:dyDescent="0.3">
      <c r="A52" s="4" t="s">
        <v>18</v>
      </c>
      <c r="B52" s="7">
        <v>70</v>
      </c>
      <c r="E52" s="4" t="s">
        <v>13</v>
      </c>
      <c r="F52" s="7">
        <v>187</v>
      </c>
    </row>
    <row r="53" spans="1:6" x14ac:dyDescent="0.3">
      <c r="A53" s="4" t="s">
        <v>19</v>
      </c>
      <c r="B53" s="7">
        <v>73</v>
      </c>
      <c r="E53" s="4" t="s">
        <v>4</v>
      </c>
      <c r="F53" s="7">
        <v>494</v>
      </c>
    </row>
    <row r="54" spans="1:6" x14ac:dyDescent="0.3">
      <c r="A54" s="4" t="s">
        <v>20</v>
      </c>
      <c r="B54" s="7">
        <v>58</v>
      </c>
    </row>
    <row r="55" spans="1:6" x14ac:dyDescent="0.3">
      <c r="A55" s="4" t="s">
        <v>21</v>
      </c>
      <c r="B55" s="7">
        <v>73</v>
      </c>
      <c r="D55" s="3" t="s">
        <v>3</v>
      </c>
      <c r="E55" t="s">
        <v>27</v>
      </c>
    </row>
    <row r="56" spans="1:6" x14ac:dyDescent="0.3">
      <c r="A56" s="4" t="s">
        <v>22</v>
      </c>
      <c r="B56" s="7">
        <v>55</v>
      </c>
      <c r="D56" s="4" t="s">
        <v>28</v>
      </c>
      <c r="E56" s="7">
        <v>241</v>
      </c>
    </row>
    <row r="57" spans="1:6" x14ac:dyDescent="0.3">
      <c r="A57" s="4" t="s">
        <v>23</v>
      </c>
      <c r="B57" s="7">
        <v>51</v>
      </c>
      <c r="D57" s="4" t="s">
        <v>29</v>
      </c>
      <c r="E57" s="7">
        <v>253</v>
      </c>
    </row>
    <row r="58" spans="1:6" x14ac:dyDescent="0.3">
      <c r="A58" s="4" t="s">
        <v>24</v>
      </c>
      <c r="B58" s="7">
        <v>67</v>
      </c>
      <c r="D58" s="4" t="s">
        <v>4</v>
      </c>
      <c r="E58" s="7">
        <v>494</v>
      </c>
    </row>
    <row r="59" spans="1:6" x14ac:dyDescent="0.3">
      <c r="A59" s="4" t="s">
        <v>25</v>
      </c>
      <c r="B59" s="7">
        <v>47</v>
      </c>
    </row>
    <row r="60" spans="1:6" x14ac:dyDescent="0.3">
      <c r="A60" s="4" t="s">
        <v>4</v>
      </c>
      <c r="B60" s="7">
        <v>494</v>
      </c>
    </row>
    <row r="61" spans="1:6" x14ac:dyDescent="0.3">
      <c r="D61" s="3" t="s">
        <v>3</v>
      </c>
      <c r="E61" t="s">
        <v>38</v>
      </c>
    </row>
    <row r="62" spans="1:6" x14ac:dyDescent="0.3">
      <c r="D62" s="4" t="s">
        <v>37</v>
      </c>
      <c r="E62" s="7">
        <v>6</v>
      </c>
    </row>
    <row r="63" spans="1:6" x14ac:dyDescent="0.3">
      <c r="A63" s="3" t="s">
        <v>3</v>
      </c>
      <c r="D63" s="4" t="s">
        <v>33</v>
      </c>
      <c r="E63" s="7">
        <v>8</v>
      </c>
    </row>
    <row r="64" spans="1:6" x14ac:dyDescent="0.3">
      <c r="A64" s="4" t="s">
        <v>5</v>
      </c>
      <c r="D64" s="4" t="s">
        <v>31</v>
      </c>
      <c r="E64" s="7">
        <v>8</v>
      </c>
    </row>
    <row r="65" spans="1:5" x14ac:dyDescent="0.3">
      <c r="A65" s="4" t="s">
        <v>4</v>
      </c>
      <c r="D65" s="4" t="s">
        <v>36</v>
      </c>
      <c r="E65" s="7">
        <v>11</v>
      </c>
    </row>
    <row r="66" spans="1:5" x14ac:dyDescent="0.3">
      <c r="D66" s="4" t="s">
        <v>30</v>
      </c>
      <c r="E66" s="7">
        <v>17</v>
      </c>
    </row>
    <row r="67" spans="1:5" x14ac:dyDescent="0.3">
      <c r="D67" s="4" t="s">
        <v>35</v>
      </c>
      <c r="E67" s="7">
        <v>49</v>
      </c>
    </row>
    <row r="68" spans="1:5" x14ac:dyDescent="0.3">
      <c r="D68" s="4" t="s">
        <v>32</v>
      </c>
      <c r="E68" s="7">
        <v>92</v>
      </c>
    </row>
    <row r="69" spans="1:5" x14ac:dyDescent="0.3">
      <c r="D69" s="4" t="s">
        <v>34</v>
      </c>
      <c r="E69" s="7">
        <v>303</v>
      </c>
    </row>
    <row r="70" spans="1:5" x14ac:dyDescent="0.3">
      <c r="D70" s="4" t="s">
        <v>4</v>
      </c>
      <c r="E70" s="7">
        <v>494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D06F-03D4-43F9-9A8F-EE1993A1D5D6}">
  <dimension ref="A1:W32"/>
  <sheetViews>
    <sheetView showGridLines="0" workbookViewId="0"/>
  </sheetViews>
  <sheetFormatPr defaultRowHeight="14.4" x14ac:dyDescent="0.3"/>
  <cols>
    <col min="23" max="23" width="8.88671875" customWidth="1"/>
  </cols>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CC46-2376-4857-AAC7-A5E18CBD4479}">
  <dimension ref="A1:S93"/>
  <sheetViews>
    <sheetView tabSelected="1" workbookViewId="0">
      <selection activeCell="N30" sqref="N30"/>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row r="34" spans="1:19" x14ac:dyDescent="0.3">
      <c r="A34" s="5"/>
      <c r="B34" s="5"/>
      <c r="C34" s="5"/>
      <c r="D34" s="5"/>
      <c r="E34" s="5"/>
      <c r="F34" s="5"/>
      <c r="G34" s="5"/>
      <c r="H34" s="5"/>
      <c r="I34" s="5"/>
      <c r="J34" s="5"/>
      <c r="K34" s="5"/>
      <c r="L34" s="5"/>
      <c r="M34" s="5"/>
      <c r="N34" s="5"/>
      <c r="O34" s="5"/>
      <c r="P34" s="5"/>
      <c r="Q34" s="5"/>
      <c r="R34" s="5"/>
      <c r="S34" s="5"/>
    </row>
    <row r="35" spans="1:19" x14ac:dyDescent="0.3">
      <c r="A35" s="5"/>
      <c r="B35" s="5"/>
      <c r="C35" s="5"/>
      <c r="D35" s="5"/>
      <c r="E35" s="5"/>
      <c r="F35" s="5"/>
      <c r="G35" s="5"/>
      <c r="H35" s="5"/>
      <c r="I35" s="5"/>
      <c r="J35" s="5"/>
      <c r="K35" s="5"/>
      <c r="L35" s="5"/>
      <c r="M35" s="5"/>
      <c r="N35" s="5"/>
      <c r="O35" s="5"/>
      <c r="P35" s="5"/>
      <c r="Q35" s="5"/>
      <c r="R35" s="5"/>
      <c r="S35" s="5"/>
    </row>
    <row r="36" spans="1:19" x14ac:dyDescent="0.3">
      <c r="A36" s="5"/>
      <c r="B36" s="5"/>
      <c r="C36" s="5"/>
      <c r="D36" s="5"/>
      <c r="E36" s="5"/>
      <c r="F36" s="5"/>
      <c r="G36" s="5"/>
      <c r="H36" s="5"/>
      <c r="I36" s="5"/>
      <c r="J36" s="5"/>
      <c r="K36" s="5"/>
      <c r="L36" s="5"/>
      <c r="M36" s="5"/>
      <c r="N36" s="5"/>
      <c r="O36" s="5"/>
      <c r="P36" s="5"/>
      <c r="Q36" s="5"/>
      <c r="R36" s="5"/>
      <c r="S36" s="5"/>
    </row>
    <row r="37" spans="1:19" x14ac:dyDescent="0.3">
      <c r="A37" s="5"/>
      <c r="B37" s="5"/>
      <c r="C37" s="5"/>
      <c r="D37" s="5"/>
      <c r="E37" s="5"/>
      <c r="F37" s="5"/>
      <c r="G37" s="5"/>
      <c r="H37" s="5"/>
      <c r="I37" s="5"/>
      <c r="J37" s="5"/>
      <c r="K37" s="5"/>
      <c r="L37" s="5"/>
      <c r="M37" s="5"/>
      <c r="N37" s="5"/>
      <c r="O37" s="5"/>
      <c r="P37" s="5"/>
      <c r="Q37" s="5"/>
      <c r="R37" s="5"/>
      <c r="S37" s="5"/>
    </row>
    <row r="38" spans="1:19" x14ac:dyDescent="0.3">
      <c r="A38" s="5"/>
      <c r="B38" s="5"/>
      <c r="C38" s="5"/>
      <c r="D38" s="5"/>
      <c r="E38" s="5"/>
      <c r="F38" s="5"/>
      <c r="G38" s="5"/>
      <c r="H38" s="5"/>
      <c r="I38" s="5"/>
      <c r="J38" s="5"/>
      <c r="K38" s="5"/>
      <c r="L38" s="5"/>
      <c r="M38" s="5"/>
      <c r="N38" s="5"/>
      <c r="O38" s="5"/>
      <c r="P38" s="5"/>
      <c r="Q38" s="5"/>
      <c r="R38" s="5"/>
      <c r="S38" s="5"/>
    </row>
    <row r="39" spans="1:19" x14ac:dyDescent="0.3">
      <c r="A39" s="5"/>
      <c r="B39" s="5"/>
      <c r="C39" s="5"/>
      <c r="D39" s="5"/>
      <c r="E39" s="5"/>
      <c r="F39" s="5"/>
      <c r="G39" s="5"/>
      <c r="H39" s="5"/>
      <c r="I39" s="5"/>
      <c r="J39" s="5"/>
      <c r="K39" s="5"/>
      <c r="L39" s="5"/>
      <c r="M39" s="5"/>
      <c r="N39" s="5"/>
      <c r="O39" s="5"/>
      <c r="P39" s="5"/>
      <c r="Q39" s="5"/>
      <c r="R39" s="5"/>
      <c r="S39" s="5"/>
    </row>
    <row r="40" spans="1:19" x14ac:dyDescent="0.3">
      <c r="A40" s="5"/>
      <c r="B40" s="5"/>
      <c r="C40" s="5"/>
      <c r="D40" s="5"/>
      <c r="E40" s="5"/>
      <c r="F40" s="5"/>
      <c r="G40" s="5"/>
      <c r="H40" s="5"/>
      <c r="I40" s="5"/>
      <c r="J40" s="5"/>
      <c r="K40" s="5"/>
      <c r="L40" s="5"/>
      <c r="M40" s="5"/>
      <c r="N40" s="5"/>
      <c r="O40" s="5"/>
      <c r="P40" s="5"/>
      <c r="Q40" s="5"/>
      <c r="R40" s="5"/>
      <c r="S40" s="5"/>
    </row>
    <row r="41" spans="1:19" x14ac:dyDescent="0.3">
      <c r="A41" s="5"/>
      <c r="B41" s="5"/>
      <c r="C41" s="5"/>
      <c r="D41" s="5"/>
      <c r="E41" s="5"/>
      <c r="F41" s="5"/>
      <c r="G41" s="5"/>
      <c r="H41" s="5"/>
      <c r="I41" s="5"/>
      <c r="J41" s="5"/>
      <c r="K41" s="5"/>
      <c r="L41" s="5"/>
      <c r="M41" s="5"/>
      <c r="N41" s="5"/>
      <c r="O41" s="5"/>
      <c r="P41" s="5"/>
      <c r="Q41" s="5"/>
      <c r="R41" s="5"/>
      <c r="S41" s="5"/>
    </row>
    <row r="42" spans="1:19" x14ac:dyDescent="0.3">
      <c r="A42" s="5"/>
      <c r="B42" s="5"/>
      <c r="C42" s="5"/>
      <c r="D42" s="5"/>
      <c r="E42" s="5"/>
      <c r="F42" s="5"/>
      <c r="G42" s="5"/>
      <c r="H42" s="5"/>
      <c r="I42" s="5"/>
      <c r="J42" s="5"/>
      <c r="K42" s="5"/>
      <c r="L42" s="5"/>
      <c r="M42" s="5"/>
      <c r="N42" s="5"/>
      <c r="O42" s="5"/>
      <c r="P42" s="5"/>
      <c r="Q42" s="5"/>
      <c r="R42" s="5"/>
      <c r="S42" s="5"/>
    </row>
    <row r="43" spans="1:19" x14ac:dyDescent="0.3">
      <c r="A43" s="5"/>
      <c r="B43" s="5"/>
      <c r="C43" s="5"/>
      <c r="D43" s="5"/>
      <c r="E43" s="5"/>
      <c r="F43" s="5"/>
      <c r="G43" s="5"/>
      <c r="H43" s="5"/>
      <c r="I43" s="5"/>
      <c r="J43" s="5"/>
      <c r="K43" s="5"/>
      <c r="L43" s="5"/>
      <c r="M43" s="5"/>
      <c r="N43" s="5"/>
      <c r="O43" s="5"/>
      <c r="P43" s="5"/>
      <c r="Q43" s="5"/>
      <c r="R43" s="5"/>
      <c r="S43" s="5"/>
    </row>
    <row r="44" spans="1:19" x14ac:dyDescent="0.3">
      <c r="A44" s="5"/>
      <c r="B44" s="5"/>
      <c r="C44" s="5"/>
      <c r="D44" s="5"/>
      <c r="E44" s="5"/>
      <c r="F44" s="5"/>
      <c r="G44" s="5"/>
      <c r="H44" s="5"/>
      <c r="I44" s="5"/>
      <c r="J44" s="5"/>
      <c r="K44" s="5"/>
      <c r="L44" s="5"/>
      <c r="M44" s="5"/>
      <c r="N44" s="5"/>
      <c r="O44" s="5"/>
      <c r="P44" s="5"/>
      <c r="Q44" s="5"/>
      <c r="R44" s="5"/>
      <c r="S44" s="5"/>
    </row>
    <row r="45" spans="1:19" x14ac:dyDescent="0.3">
      <c r="A45" s="5"/>
      <c r="B45" s="5"/>
      <c r="C45" s="5"/>
      <c r="D45" s="5"/>
      <c r="E45" s="5"/>
      <c r="F45" s="5"/>
      <c r="G45" s="5"/>
      <c r="H45" s="5"/>
      <c r="I45" s="5"/>
      <c r="J45" s="5"/>
      <c r="K45" s="5"/>
      <c r="L45" s="5"/>
      <c r="M45" s="5"/>
      <c r="N45" s="5"/>
      <c r="O45" s="5"/>
      <c r="P45" s="5"/>
      <c r="Q45" s="5"/>
      <c r="R45" s="5"/>
      <c r="S45" s="5"/>
    </row>
    <row r="46" spans="1:19" x14ac:dyDescent="0.3">
      <c r="A46" s="5"/>
      <c r="B46" s="5"/>
      <c r="C46" s="5"/>
      <c r="D46" s="5"/>
      <c r="E46" s="5"/>
      <c r="F46" s="5"/>
      <c r="G46" s="5"/>
      <c r="H46" s="5"/>
      <c r="I46" s="5"/>
      <c r="J46" s="5"/>
      <c r="K46" s="5"/>
      <c r="L46" s="5"/>
      <c r="M46" s="5"/>
      <c r="N46" s="5"/>
      <c r="O46" s="5"/>
      <c r="P46" s="5"/>
      <c r="Q46" s="5"/>
      <c r="R46" s="5"/>
      <c r="S46" s="5"/>
    </row>
    <row r="47" spans="1:19" x14ac:dyDescent="0.3">
      <c r="A47" s="5"/>
      <c r="B47" s="5"/>
      <c r="C47" s="5"/>
      <c r="D47" s="5"/>
      <c r="E47" s="5"/>
      <c r="F47" s="5"/>
      <c r="G47" s="5"/>
      <c r="H47" s="5"/>
      <c r="I47" s="5"/>
      <c r="J47" s="5"/>
      <c r="K47" s="5"/>
      <c r="L47" s="5"/>
      <c r="M47" s="5"/>
      <c r="N47" s="5"/>
      <c r="O47" s="5"/>
      <c r="P47" s="5"/>
      <c r="Q47" s="5"/>
      <c r="R47" s="5"/>
      <c r="S47" s="5"/>
    </row>
    <row r="48" spans="1:19" x14ac:dyDescent="0.3">
      <c r="A48" s="5"/>
      <c r="B48" s="5"/>
      <c r="C48" s="5"/>
      <c r="D48" s="5"/>
      <c r="E48" s="5"/>
      <c r="F48" s="5"/>
      <c r="G48" s="5"/>
      <c r="H48" s="5"/>
      <c r="I48" s="5"/>
      <c r="J48" s="5"/>
      <c r="K48" s="5"/>
      <c r="L48" s="5"/>
      <c r="M48" s="5"/>
      <c r="N48" s="5"/>
      <c r="O48" s="5"/>
      <c r="P48" s="5"/>
      <c r="Q48" s="5"/>
      <c r="R48" s="5"/>
      <c r="S48" s="5"/>
    </row>
    <row r="49" spans="1:19" x14ac:dyDescent="0.3">
      <c r="A49" s="5"/>
      <c r="B49" s="5"/>
      <c r="C49" s="5"/>
      <c r="D49" s="5"/>
      <c r="E49" s="5"/>
      <c r="F49" s="5"/>
      <c r="G49" s="5"/>
      <c r="H49" s="5"/>
      <c r="I49" s="5"/>
      <c r="J49" s="5"/>
      <c r="K49" s="5"/>
      <c r="L49" s="5"/>
      <c r="M49" s="5"/>
      <c r="N49" s="5"/>
      <c r="O49" s="5"/>
      <c r="P49" s="5"/>
      <c r="Q49" s="5"/>
      <c r="R49" s="5"/>
      <c r="S49" s="5"/>
    </row>
    <row r="50" spans="1:19" x14ac:dyDescent="0.3">
      <c r="A50" s="5"/>
      <c r="B50" s="5"/>
      <c r="C50" s="5"/>
      <c r="D50" s="5"/>
      <c r="E50" s="5"/>
      <c r="F50" s="5"/>
      <c r="G50" s="5"/>
      <c r="H50" s="5"/>
      <c r="I50" s="5"/>
      <c r="J50" s="5"/>
      <c r="K50" s="5"/>
      <c r="L50" s="5"/>
      <c r="M50" s="5"/>
      <c r="N50" s="5"/>
      <c r="O50" s="5"/>
      <c r="P50" s="5"/>
      <c r="Q50" s="5"/>
      <c r="R50" s="5"/>
      <c r="S50" s="5"/>
    </row>
    <row r="51" spans="1:19" x14ac:dyDescent="0.3">
      <c r="A51" s="5"/>
      <c r="B51" s="5"/>
      <c r="C51" s="5"/>
      <c r="D51" s="5"/>
      <c r="E51" s="5"/>
      <c r="F51" s="5"/>
      <c r="G51" s="5"/>
      <c r="H51" s="5"/>
      <c r="I51" s="5"/>
      <c r="J51" s="5"/>
      <c r="K51" s="5"/>
      <c r="L51" s="5"/>
      <c r="M51" s="5"/>
      <c r="N51" s="5"/>
      <c r="O51" s="5"/>
      <c r="P51" s="5"/>
      <c r="Q51" s="5"/>
      <c r="R51" s="5"/>
      <c r="S51" s="5"/>
    </row>
    <row r="52" spans="1:19" x14ac:dyDescent="0.3">
      <c r="A52" s="5"/>
      <c r="B52" s="5"/>
      <c r="C52" s="5"/>
      <c r="D52" s="5"/>
      <c r="E52" s="5"/>
      <c r="F52" s="5"/>
      <c r="G52" s="5"/>
      <c r="H52" s="5"/>
      <c r="I52" s="5"/>
      <c r="J52" s="5"/>
      <c r="K52" s="5"/>
      <c r="L52" s="5"/>
      <c r="M52" s="5"/>
      <c r="N52" s="5"/>
      <c r="O52" s="5"/>
      <c r="P52" s="5"/>
      <c r="Q52" s="5"/>
      <c r="R52" s="5"/>
      <c r="S52" s="5"/>
    </row>
    <row r="53" spans="1:19" x14ac:dyDescent="0.3">
      <c r="A53" s="5"/>
      <c r="B53" s="5"/>
      <c r="C53" s="5"/>
      <c r="D53" s="5"/>
      <c r="E53" s="5"/>
      <c r="F53" s="5"/>
      <c r="G53" s="5"/>
      <c r="H53" s="5"/>
      <c r="I53" s="5"/>
      <c r="J53" s="5"/>
      <c r="K53" s="5"/>
      <c r="L53" s="5"/>
      <c r="M53" s="5"/>
      <c r="N53" s="5"/>
      <c r="O53" s="5"/>
      <c r="P53" s="5"/>
      <c r="Q53" s="5"/>
      <c r="R53" s="5"/>
      <c r="S53" s="5"/>
    </row>
    <row r="54" spans="1:19" x14ac:dyDescent="0.3">
      <c r="A54" s="5"/>
      <c r="B54" s="5"/>
      <c r="C54" s="5"/>
      <c r="D54" s="5"/>
      <c r="E54" s="5"/>
      <c r="F54" s="5"/>
      <c r="G54" s="5"/>
      <c r="H54" s="5"/>
      <c r="I54" s="5"/>
      <c r="J54" s="5"/>
      <c r="K54" s="5"/>
      <c r="L54" s="5"/>
      <c r="M54" s="5"/>
      <c r="N54" s="5"/>
      <c r="O54" s="5"/>
      <c r="P54" s="5"/>
      <c r="Q54" s="5"/>
      <c r="R54" s="5"/>
      <c r="S54" s="5"/>
    </row>
    <row r="55" spans="1:19" x14ac:dyDescent="0.3">
      <c r="A55" s="5"/>
      <c r="B55" s="5"/>
      <c r="C55" s="5"/>
      <c r="D55" s="5"/>
      <c r="E55" s="5"/>
      <c r="F55" s="5"/>
      <c r="G55" s="5"/>
      <c r="H55" s="5"/>
      <c r="I55" s="5"/>
      <c r="J55" s="5"/>
      <c r="K55" s="5"/>
      <c r="L55" s="5"/>
      <c r="M55" s="5"/>
      <c r="N55" s="5"/>
      <c r="O55" s="5"/>
      <c r="P55" s="5"/>
      <c r="Q55" s="5"/>
      <c r="R55" s="5"/>
      <c r="S55" s="5"/>
    </row>
    <row r="56" spans="1:19" x14ac:dyDescent="0.3">
      <c r="A56" s="5"/>
      <c r="B56" s="5"/>
      <c r="C56" s="5"/>
      <c r="D56" s="5"/>
      <c r="E56" s="5"/>
      <c r="F56" s="5"/>
      <c r="G56" s="5"/>
      <c r="H56" s="5"/>
      <c r="I56" s="5"/>
      <c r="J56" s="5"/>
      <c r="K56" s="5"/>
      <c r="L56" s="5"/>
      <c r="M56" s="5"/>
      <c r="N56" s="5"/>
      <c r="O56" s="5"/>
      <c r="P56" s="5"/>
      <c r="Q56" s="5"/>
      <c r="R56" s="5"/>
      <c r="S56" s="5"/>
    </row>
    <row r="57" spans="1:19" x14ac:dyDescent="0.3">
      <c r="A57" s="5"/>
      <c r="B57" s="5"/>
      <c r="C57" s="5"/>
      <c r="D57" s="5"/>
      <c r="E57" s="5"/>
      <c r="F57" s="5"/>
      <c r="G57" s="5"/>
      <c r="H57" s="5"/>
      <c r="I57" s="5"/>
      <c r="J57" s="5"/>
      <c r="K57" s="5"/>
      <c r="L57" s="5"/>
      <c r="M57" s="5"/>
      <c r="N57" s="5"/>
      <c r="O57" s="5"/>
      <c r="P57" s="5"/>
      <c r="Q57" s="5"/>
      <c r="R57" s="5"/>
      <c r="S57" s="5"/>
    </row>
    <row r="58" spans="1:19" x14ac:dyDescent="0.3">
      <c r="A58" s="5"/>
      <c r="B58" s="5"/>
      <c r="C58" s="5"/>
      <c r="D58" s="5"/>
      <c r="E58" s="5"/>
      <c r="F58" s="5"/>
      <c r="G58" s="5"/>
      <c r="H58" s="5"/>
      <c r="I58" s="5"/>
      <c r="J58" s="5"/>
      <c r="K58" s="5"/>
      <c r="L58" s="5"/>
      <c r="M58" s="5"/>
      <c r="N58" s="5"/>
      <c r="O58" s="5"/>
      <c r="P58" s="5"/>
      <c r="Q58" s="5"/>
      <c r="R58" s="5"/>
      <c r="S58" s="5"/>
    </row>
    <row r="59" spans="1:19" x14ac:dyDescent="0.3">
      <c r="A59" s="5"/>
      <c r="B59" s="5"/>
      <c r="C59" s="5"/>
      <c r="D59" s="5"/>
      <c r="E59" s="5"/>
      <c r="F59" s="5"/>
      <c r="G59" s="5"/>
      <c r="H59" s="5"/>
      <c r="I59" s="5"/>
      <c r="J59" s="5"/>
      <c r="K59" s="5"/>
      <c r="L59" s="5"/>
      <c r="M59" s="5"/>
      <c r="N59" s="5"/>
      <c r="O59" s="5"/>
      <c r="P59" s="5"/>
      <c r="Q59" s="5"/>
      <c r="R59" s="5"/>
      <c r="S59" s="5"/>
    </row>
    <row r="60" spans="1:19" x14ac:dyDescent="0.3">
      <c r="A60" s="5"/>
      <c r="B60" s="5"/>
      <c r="C60" s="5"/>
      <c r="D60" s="5"/>
      <c r="E60" s="5"/>
      <c r="F60" s="5"/>
      <c r="G60" s="5"/>
      <c r="H60" s="5"/>
      <c r="I60" s="5"/>
      <c r="J60" s="5"/>
      <c r="K60" s="5"/>
      <c r="L60" s="5"/>
      <c r="M60" s="5"/>
      <c r="N60" s="5"/>
      <c r="O60" s="5"/>
      <c r="P60" s="5"/>
      <c r="Q60" s="5"/>
      <c r="R60" s="5"/>
      <c r="S60" s="5"/>
    </row>
    <row r="61" spans="1:19" x14ac:dyDescent="0.3">
      <c r="A61" s="5"/>
      <c r="B61" s="5"/>
      <c r="C61" s="5"/>
      <c r="D61" s="5"/>
      <c r="E61" s="5"/>
      <c r="F61" s="5"/>
      <c r="G61" s="5"/>
      <c r="H61" s="5"/>
      <c r="I61" s="5"/>
      <c r="J61" s="5"/>
      <c r="K61" s="5"/>
      <c r="L61" s="5"/>
      <c r="M61" s="5"/>
      <c r="N61" s="5"/>
      <c r="O61" s="5"/>
      <c r="P61" s="5"/>
      <c r="Q61" s="5"/>
      <c r="R61" s="5"/>
      <c r="S61" s="5"/>
    </row>
    <row r="62" spans="1:19" x14ac:dyDescent="0.3">
      <c r="A62" s="5"/>
      <c r="B62" s="5"/>
      <c r="C62" s="5"/>
      <c r="D62" s="5"/>
      <c r="E62" s="5"/>
      <c r="F62" s="5"/>
      <c r="G62" s="5"/>
      <c r="H62" s="5"/>
      <c r="I62" s="5"/>
      <c r="J62" s="5"/>
      <c r="K62" s="5"/>
      <c r="L62" s="5"/>
      <c r="M62" s="5"/>
      <c r="N62" s="5"/>
      <c r="O62" s="5"/>
      <c r="P62" s="5"/>
      <c r="Q62" s="5"/>
      <c r="R62" s="5"/>
      <c r="S62" s="5"/>
    </row>
    <row r="63" spans="1:19" x14ac:dyDescent="0.3">
      <c r="A63" s="5"/>
      <c r="B63" s="5"/>
      <c r="C63" s="5"/>
      <c r="D63" s="5"/>
      <c r="E63" s="5"/>
      <c r="F63" s="5"/>
      <c r="G63" s="5"/>
      <c r="H63" s="5"/>
      <c r="I63" s="5"/>
      <c r="J63" s="5"/>
      <c r="K63" s="5"/>
      <c r="L63" s="5"/>
      <c r="M63" s="5"/>
      <c r="N63" s="5"/>
      <c r="O63" s="5"/>
      <c r="P63" s="5"/>
      <c r="Q63" s="5"/>
      <c r="R63" s="5"/>
      <c r="S63" s="5"/>
    </row>
    <row r="64" spans="1:19" x14ac:dyDescent="0.3">
      <c r="A64" s="5"/>
      <c r="B64" s="5"/>
      <c r="C64" s="5"/>
      <c r="D64" s="5"/>
      <c r="E64" s="5"/>
      <c r="F64" s="5"/>
      <c r="G64" s="5"/>
      <c r="H64" s="5"/>
      <c r="I64" s="5"/>
      <c r="J64" s="5"/>
      <c r="K64" s="5"/>
      <c r="L64" s="5"/>
      <c r="M64" s="5"/>
      <c r="N64" s="5"/>
      <c r="O64" s="5"/>
      <c r="P64" s="5"/>
      <c r="Q64" s="5"/>
      <c r="R64" s="5"/>
      <c r="S64" s="5"/>
    </row>
    <row r="65" spans="1:19" x14ac:dyDescent="0.3">
      <c r="A65" s="5"/>
      <c r="B65" s="5"/>
      <c r="C65" s="5"/>
      <c r="D65" s="5"/>
      <c r="E65" s="5"/>
      <c r="F65" s="5"/>
      <c r="G65" s="5"/>
      <c r="H65" s="5"/>
      <c r="I65" s="5"/>
      <c r="J65" s="5"/>
      <c r="K65" s="5"/>
      <c r="L65" s="5"/>
      <c r="M65" s="5"/>
      <c r="N65" s="5"/>
      <c r="O65" s="5"/>
      <c r="P65" s="5"/>
      <c r="Q65" s="5"/>
      <c r="R65" s="5"/>
      <c r="S65" s="5"/>
    </row>
    <row r="66" spans="1:19" x14ac:dyDescent="0.3">
      <c r="A66" s="5"/>
      <c r="B66" s="5"/>
      <c r="C66" s="5"/>
      <c r="D66" s="5"/>
      <c r="E66" s="5"/>
      <c r="F66" s="5"/>
      <c r="G66" s="5"/>
      <c r="H66" s="5"/>
      <c r="I66" s="5"/>
      <c r="J66" s="5"/>
      <c r="K66" s="5"/>
      <c r="L66" s="5"/>
      <c r="M66" s="5"/>
      <c r="N66" s="5"/>
      <c r="O66" s="5"/>
      <c r="P66" s="5"/>
      <c r="Q66" s="5"/>
      <c r="R66" s="5"/>
      <c r="S66" s="5"/>
    </row>
    <row r="67" spans="1:19" x14ac:dyDescent="0.3">
      <c r="A67" s="5"/>
      <c r="B67" s="5"/>
      <c r="C67" s="5"/>
      <c r="D67" s="5"/>
      <c r="E67" s="5"/>
      <c r="F67" s="5"/>
      <c r="G67" s="5"/>
      <c r="H67" s="5"/>
      <c r="I67" s="5"/>
      <c r="J67" s="5"/>
      <c r="K67" s="5"/>
      <c r="L67" s="5"/>
      <c r="M67" s="5"/>
      <c r="N67" s="5"/>
      <c r="O67" s="5"/>
      <c r="P67" s="5"/>
      <c r="Q67" s="5"/>
      <c r="R67" s="5"/>
      <c r="S67" s="5"/>
    </row>
    <row r="68" spans="1:19" x14ac:dyDescent="0.3">
      <c r="A68" s="5"/>
      <c r="B68" s="5"/>
      <c r="C68" s="5"/>
      <c r="D68" s="5"/>
      <c r="E68" s="5"/>
      <c r="F68" s="5"/>
      <c r="G68" s="5"/>
      <c r="H68" s="5"/>
      <c r="I68" s="5"/>
      <c r="J68" s="5"/>
      <c r="K68" s="5"/>
      <c r="L68" s="5"/>
      <c r="M68" s="5"/>
      <c r="N68" s="5"/>
      <c r="O68" s="5"/>
      <c r="P68" s="5"/>
      <c r="Q68" s="5"/>
      <c r="R68" s="5"/>
      <c r="S68" s="5"/>
    </row>
    <row r="69" spans="1:19" x14ac:dyDescent="0.3">
      <c r="A69" s="5"/>
      <c r="B69" s="5"/>
      <c r="C69" s="5"/>
      <c r="D69" s="5"/>
      <c r="E69" s="5"/>
      <c r="F69" s="5"/>
      <c r="G69" s="5"/>
      <c r="H69" s="5"/>
      <c r="I69" s="5"/>
      <c r="J69" s="5"/>
      <c r="K69" s="5"/>
      <c r="L69" s="5"/>
      <c r="M69" s="5"/>
      <c r="N69" s="5"/>
      <c r="O69" s="5"/>
      <c r="P69" s="5"/>
      <c r="Q69" s="5"/>
      <c r="R69" s="5"/>
      <c r="S69" s="5"/>
    </row>
    <row r="70" spans="1:19" x14ac:dyDescent="0.3">
      <c r="A70" s="5"/>
      <c r="B70" s="5"/>
      <c r="C70" s="5"/>
      <c r="D70" s="5"/>
      <c r="E70" s="5"/>
      <c r="F70" s="5"/>
      <c r="G70" s="5"/>
      <c r="H70" s="5"/>
      <c r="I70" s="5"/>
      <c r="J70" s="5"/>
      <c r="K70" s="5"/>
      <c r="L70" s="5"/>
      <c r="M70" s="5"/>
      <c r="N70" s="5"/>
      <c r="O70" s="5"/>
      <c r="P70" s="5"/>
      <c r="Q70" s="5"/>
      <c r="R70" s="5"/>
      <c r="S70" s="5"/>
    </row>
    <row r="71" spans="1:19" x14ac:dyDescent="0.3">
      <c r="A71" s="5"/>
      <c r="B71" s="5"/>
      <c r="C71" s="5"/>
      <c r="D71" s="5"/>
      <c r="E71" s="5"/>
      <c r="F71" s="5"/>
      <c r="G71" s="5"/>
      <c r="H71" s="5"/>
      <c r="I71" s="5"/>
      <c r="J71" s="5"/>
      <c r="K71" s="5"/>
      <c r="L71" s="5"/>
      <c r="M71" s="5"/>
      <c r="N71" s="5"/>
      <c r="O71" s="5"/>
      <c r="P71" s="5"/>
      <c r="Q71" s="5"/>
      <c r="R71" s="5"/>
      <c r="S71" s="5"/>
    </row>
    <row r="72" spans="1:19" x14ac:dyDescent="0.3">
      <c r="A72" s="5"/>
      <c r="B72" s="5"/>
      <c r="C72" s="5"/>
      <c r="D72" s="5"/>
      <c r="E72" s="5"/>
      <c r="F72" s="5"/>
      <c r="G72" s="5"/>
      <c r="H72" s="5"/>
      <c r="I72" s="5"/>
      <c r="J72" s="5"/>
      <c r="K72" s="5"/>
      <c r="L72" s="5"/>
      <c r="M72" s="5"/>
      <c r="N72" s="5"/>
      <c r="O72" s="5"/>
      <c r="P72" s="5"/>
      <c r="Q72" s="5"/>
      <c r="R72" s="5"/>
      <c r="S72" s="5"/>
    </row>
    <row r="73" spans="1:19" x14ac:dyDescent="0.3">
      <c r="A73" s="5"/>
      <c r="B73" s="5"/>
      <c r="C73" s="5"/>
      <c r="D73" s="5"/>
      <c r="E73" s="5"/>
      <c r="F73" s="5"/>
      <c r="G73" s="5"/>
      <c r="H73" s="5"/>
      <c r="I73" s="5"/>
      <c r="J73" s="5"/>
      <c r="K73" s="5"/>
      <c r="L73" s="5"/>
      <c r="M73" s="5"/>
      <c r="N73" s="5"/>
      <c r="O73" s="5"/>
      <c r="P73" s="5"/>
      <c r="Q73" s="5"/>
      <c r="R73" s="5"/>
      <c r="S73" s="5"/>
    </row>
    <row r="74" spans="1:19" x14ac:dyDescent="0.3">
      <c r="A74" s="5"/>
      <c r="B74" s="5"/>
      <c r="C74" s="5"/>
      <c r="D74" s="5"/>
      <c r="E74" s="5"/>
      <c r="F74" s="5"/>
      <c r="G74" s="5"/>
      <c r="H74" s="5"/>
      <c r="I74" s="5"/>
      <c r="J74" s="5"/>
      <c r="K74" s="5"/>
      <c r="L74" s="5"/>
      <c r="M74" s="5"/>
      <c r="N74" s="5"/>
      <c r="O74" s="5"/>
      <c r="P74" s="5"/>
      <c r="Q74" s="5"/>
      <c r="R74" s="5"/>
      <c r="S74" s="5"/>
    </row>
    <row r="75" spans="1:19" x14ac:dyDescent="0.3">
      <c r="A75" s="5"/>
      <c r="B75" s="5"/>
      <c r="C75" s="5"/>
      <c r="D75" s="5"/>
      <c r="E75" s="5"/>
      <c r="F75" s="5"/>
      <c r="G75" s="5"/>
      <c r="H75" s="5"/>
      <c r="I75" s="5"/>
      <c r="J75" s="5"/>
      <c r="K75" s="5"/>
      <c r="L75" s="5"/>
      <c r="M75" s="5"/>
      <c r="N75" s="5"/>
      <c r="O75" s="5"/>
      <c r="P75" s="5"/>
      <c r="Q75" s="5"/>
      <c r="R75" s="5"/>
      <c r="S75" s="5"/>
    </row>
    <row r="76" spans="1:19" x14ac:dyDescent="0.3">
      <c r="A76" s="5"/>
      <c r="B76" s="5"/>
      <c r="C76" s="5"/>
      <c r="D76" s="5"/>
      <c r="E76" s="5"/>
      <c r="F76" s="5"/>
      <c r="G76" s="5"/>
      <c r="H76" s="5"/>
      <c r="I76" s="5"/>
      <c r="J76" s="5"/>
      <c r="K76" s="5"/>
      <c r="L76" s="5"/>
      <c r="M76" s="5"/>
      <c r="N76" s="5"/>
      <c r="O76" s="5"/>
      <c r="P76" s="5"/>
      <c r="Q76" s="5"/>
      <c r="R76" s="5"/>
      <c r="S76" s="5"/>
    </row>
    <row r="77" spans="1:19" x14ac:dyDescent="0.3">
      <c r="A77" s="5"/>
      <c r="B77" s="5"/>
      <c r="C77" s="5"/>
      <c r="D77" s="5"/>
      <c r="E77" s="5"/>
      <c r="F77" s="5"/>
      <c r="G77" s="5"/>
      <c r="H77" s="5"/>
      <c r="I77" s="5"/>
      <c r="J77" s="5"/>
      <c r="K77" s="5"/>
      <c r="L77" s="5"/>
      <c r="M77" s="5"/>
      <c r="N77" s="5"/>
      <c r="O77" s="5"/>
      <c r="P77" s="5"/>
      <c r="Q77" s="5"/>
      <c r="R77" s="5"/>
      <c r="S77" s="5"/>
    </row>
    <row r="78" spans="1:19" x14ac:dyDescent="0.3">
      <c r="A78" s="5"/>
      <c r="B78" s="5"/>
      <c r="C78" s="5"/>
      <c r="D78" s="5"/>
      <c r="E78" s="5"/>
      <c r="F78" s="5"/>
      <c r="G78" s="5"/>
      <c r="H78" s="5"/>
      <c r="I78" s="5"/>
      <c r="J78" s="5"/>
      <c r="K78" s="5"/>
      <c r="L78" s="5"/>
      <c r="M78" s="5"/>
      <c r="N78" s="5"/>
      <c r="O78" s="5"/>
      <c r="P78" s="5"/>
      <c r="Q78" s="5"/>
      <c r="R78" s="5"/>
      <c r="S78" s="5"/>
    </row>
    <row r="79" spans="1:19" x14ac:dyDescent="0.3">
      <c r="A79" s="5"/>
      <c r="B79" s="5"/>
      <c r="C79" s="5"/>
      <c r="D79" s="5"/>
      <c r="E79" s="5"/>
      <c r="F79" s="5"/>
      <c r="G79" s="5"/>
      <c r="H79" s="5"/>
      <c r="I79" s="5"/>
      <c r="J79" s="5"/>
      <c r="K79" s="5"/>
      <c r="L79" s="5"/>
      <c r="M79" s="5"/>
      <c r="N79" s="5"/>
      <c r="O79" s="5"/>
      <c r="P79" s="5"/>
      <c r="Q79" s="5"/>
      <c r="R79" s="5"/>
      <c r="S79" s="5"/>
    </row>
    <row r="80" spans="1:19" x14ac:dyDescent="0.3">
      <c r="A80" s="5"/>
      <c r="B80" s="5"/>
      <c r="C80" s="5"/>
      <c r="D80" s="5"/>
      <c r="E80" s="5"/>
      <c r="F80" s="5"/>
      <c r="G80" s="5"/>
      <c r="H80" s="5"/>
      <c r="I80" s="5"/>
      <c r="J80" s="5"/>
      <c r="K80" s="5"/>
      <c r="L80" s="5"/>
      <c r="M80" s="5"/>
      <c r="N80" s="5"/>
      <c r="O80" s="5"/>
      <c r="P80" s="5"/>
      <c r="Q80" s="5"/>
      <c r="R80" s="5"/>
      <c r="S80" s="5"/>
    </row>
    <row r="81" spans="1:19" x14ac:dyDescent="0.3">
      <c r="A81" s="5"/>
      <c r="B81" s="5"/>
      <c r="C81" s="5"/>
      <c r="D81" s="5"/>
      <c r="E81" s="5"/>
      <c r="F81" s="5"/>
      <c r="G81" s="5"/>
      <c r="H81" s="5"/>
      <c r="I81" s="5"/>
      <c r="J81" s="5"/>
      <c r="K81" s="5"/>
      <c r="L81" s="5"/>
      <c r="M81" s="5"/>
      <c r="N81" s="5"/>
      <c r="O81" s="5"/>
      <c r="P81" s="5"/>
      <c r="Q81" s="5"/>
      <c r="R81" s="5"/>
      <c r="S81" s="5"/>
    </row>
    <row r="82" spans="1:19" x14ac:dyDescent="0.3">
      <c r="A82" s="5"/>
      <c r="B82" s="5"/>
      <c r="C82" s="5"/>
      <c r="D82" s="5"/>
      <c r="E82" s="5"/>
      <c r="F82" s="5"/>
      <c r="G82" s="5"/>
      <c r="H82" s="5"/>
      <c r="I82" s="5"/>
      <c r="J82" s="5"/>
      <c r="K82" s="5"/>
      <c r="L82" s="5"/>
      <c r="M82" s="5"/>
      <c r="N82" s="5"/>
      <c r="O82" s="5"/>
      <c r="P82" s="5"/>
      <c r="Q82" s="5"/>
      <c r="R82" s="5"/>
      <c r="S82" s="5"/>
    </row>
    <row r="83" spans="1:19" x14ac:dyDescent="0.3">
      <c r="A83" s="5"/>
      <c r="B83" s="5"/>
      <c r="C83" s="5"/>
      <c r="D83" s="5"/>
      <c r="E83" s="5"/>
      <c r="F83" s="5"/>
      <c r="G83" s="5"/>
      <c r="H83" s="5"/>
      <c r="I83" s="5"/>
      <c r="J83" s="5"/>
      <c r="K83" s="5"/>
      <c r="L83" s="5"/>
      <c r="M83" s="5"/>
      <c r="N83" s="5"/>
      <c r="O83" s="5"/>
      <c r="P83" s="5"/>
      <c r="Q83" s="5"/>
      <c r="R83" s="5"/>
      <c r="S83" s="5"/>
    </row>
    <row r="84" spans="1:19" x14ac:dyDescent="0.3">
      <c r="A84" s="5"/>
      <c r="B84" s="5"/>
      <c r="C84" s="5"/>
      <c r="D84" s="5"/>
      <c r="E84" s="5"/>
      <c r="F84" s="5"/>
      <c r="G84" s="5"/>
      <c r="H84" s="5"/>
      <c r="I84" s="5"/>
      <c r="J84" s="5"/>
      <c r="K84" s="5"/>
      <c r="L84" s="5"/>
      <c r="M84" s="5"/>
      <c r="N84" s="5"/>
      <c r="O84" s="5"/>
      <c r="P84" s="5"/>
      <c r="Q84" s="5"/>
      <c r="R84" s="5"/>
      <c r="S84" s="5"/>
    </row>
    <row r="85" spans="1:19" x14ac:dyDescent="0.3">
      <c r="A85" s="5"/>
      <c r="B85" s="5"/>
      <c r="C85" s="5"/>
      <c r="D85" s="5"/>
      <c r="E85" s="5"/>
      <c r="F85" s="5"/>
      <c r="G85" s="5"/>
      <c r="H85" s="5"/>
      <c r="I85" s="5"/>
      <c r="J85" s="5"/>
      <c r="K85" s="5"/>
      <c r="L85" s="5"/>
      <c r="M85" s="5"/>
      <c r="N85" s="5"/>
      <c r="O85" s="5"/>
      <c r="P85" s="5"/>
      <c r="Q85" s="5"/>
      <c r="R85" s="5"/>
      <c r="S85" s="5"/>
    </row>
    <row r="86" spans="1:19" x14ac:dyDescent="0.3">
      <c r="A86" s="5"/>
      <c r="B86" s="5"/>
      <c r="C86" s="5"/>
      <c r="D86" s="5"/>
      <c r="E86" s="5"/>
      <c r="F86" s="5"/>
      <c r="G86" s="5"/>
      <c r="H86" s="5"/>
      <c r="I86" s="5"/>
      <c r="J86" s="5"/>
      <c r="K86" s="5"/>
      <c r="L86" s="5"/>
      <c r="M86" s="5"/>
      <c r="N86" s="5"/>
      <c r="O86" s="5"/>
      <c r="P86" s="5"/>
      <c r="Q86" s="5"/>
      <c r="R86" s="5"/>
      <c r="S86" s="5"/>
    </row>
    <row r="87" spans="1:19" x14ac:dyDescent="0.3">
      <c r="A87" s="5"/>
      <c r="B87" s="5"/>
      <c r="C87" s="5"/>
      <c r="D87" s="5"/>
      <c r="E87" s="5"/>
      <c r="F87" s="5"/>
      <c r="G87" s="5"/>
      <c r="H87" s="5"/>
      <c r="I87" s="5"/>
      <c r="J87" s="5"/>
      <c r="K87" s="5"/>
      <c r="L87" s="5"/>
      <c r="M87" s="5"/>
      <c r="N87" s="5"/>
      <c r="O87" s="5"/>
      <c r="P87" s="5"/>
      <c r="Q87" s="5"/>
      <c r="R87" s="5"/>
      <c r="S87" s="5"/>
    </row>
    <row r="88" spans="1:19" x14ac:dyDescent="0.3">
      <c r="A88" s="5"/>
      <c r="B88" s="5"/>
      <c r="C88" s="5"/>
      <c r="D88" s="5"/>
      <c r="E88" s="5"/>
      <c r="F88" s="5"/>
      <c r="G88" s="5"/>
      <c r="H88" s="5"/>
      <c r="I88" s="5"/>
      <c r="J88" s="5"/>
      <c r="K88" s="5"/>
      <c r="L88" s="5"/>
      <c r="M88" s="5"/>
      <c r="N88" s="5"/>
      <c r="O88" s="5"/>
      <c r="P88" s="5"/>
      <c r="Q88" s="5"/>
      <c r="R88" s="5"/>
      <c r="S88" s="5"/>
    </row>
    <row r="89" spans="1:19" x14ac:dyDescent="0.3">
      <c r="A89" s="5"/>
      <c r="B89" s="5"/>
      <c r="C89" s="5"/>
      <c r="D89" s="5"/>
      <c r="E89" s="5"/>
      <c r="F89" s="5"/>
      <c r="G89" s="5"/>
      <c r="H89" s="5"/>
      <c r="I89" s="5"/>
      <c r="J89" s="5"/>
      <c r="K89" s="5"/>
      <c r="L89" s="5"/>
      <c r="M89" s="5"/>
      <c r="N89" s="5"/>
      <c r="O89" s="5"/>
      <c r="P89" s="5"/>
      <c r="Q89" s="5"/>
      <c r="R89" s="5"/>
      <c r="S89" s="5"/>
    </row>
    <row r="90" spans="1:19" x14ac:dyDescent="0.3">
      <c r="A90" s="5"/>
      <c r="B90" s="5"/>
      <c r="C90" s="5"/>
      <c r="D90" s="5"/>
      <c r="E90" s="5"/>
      <c r="F90" s="5"/>
      <c r="G90" s="5"/>
      <c r="H90" s="5"/>
      <c r="I90" s="5"/>
      <c r="J90" s="5"/>
      <c r="K90" s="5"/>
      <c r="L90" s="5"/>
      <c r="M90" s="5"/>
      <c r="N90" s="5"/>
      <c r="O90" s="5"/>
      <c r="P90" s="5"/>
      <c r="Q90" s="5"/>
      <c r="R90" s="5"/>
      <c r="S90" s="5"/>
    </row>
    <row r="91" spans="1:19" x14ac:dyDescent="0.3">
      <c r="A91" s="5"/>
      <c r="B91" s="5"/>
      <c r="C91" s="5"/>
      <c r="D91" s="5"/>
      <c r="E91" s="5"/>
      <c r="F91" s="5"/>
      <c r="G91" s="5"/>
      <c r="H91" s="5"/>
      <c r="I91" s="5"/>
      <c r="J91" s="5"/>
      <c r="K91" s="5"/>
      <c r="L91" s="5"/>
      <c r="M91" s="5"/>
      <c r="N91" s="5"/>
      <c r="O91" s="5"/>
      <c r="P91" s="5"/>
      <c r="Q91" s="5"/>
      <c r="R91" s="5"/>
      <c r="S91" s="5"/>
    </row>
    <row r="92" spans="1:19" x14ac:dyDescent="0.3">
      <c r="A92" s="5"/>
      <c r="B92" s="5"/>
      <c r="C92" s="5"/>
      <c r="D92" s="5"/>
      <c r="E92" s="5"/>
      <c r="F92" s="5"/>
      <c r="G92" s="5"/>
      <c r="H92" s="5"/>
      <c r="I92" s="5"/>
      <c r="J92" s="5"/>
      <c r="K92" s="5"/>
      <c r="L92" s="5"/>
      <c r="M92" s="5"/>
      <c r="N92" s="5"/>
      <c r="O92" s="5"/>
      <c r="P92" s="5"/>
      <c r="Q92" s="5"/>
      <c r="R92" s="5"/>
      <c r="S92" s="5"/>
    </row>
    <row r="93" spans="1:19" x14ac:dyDescent="0.3">
      <c r="A93" s="5"/>
      <c r="B93" s="5"/>
      <c r="C93" s="5"/>
      <c r="D93" s="5"/>
      <c r="E93" s="5"/>
      <c r="F93" s="5"/>
      <c r="G93" s="5"/>
      <c r="H93" s="5"/>
      <c r="I93" s="5"/>
      <c r="J93" s="5"/>
      <c r="K93" s="5"/>
      <c r="L93" s="5"/>
      <c r="M93" s="5"/>
      <c r="N93" s="5"/>
      <c r="O93" s="5"/>
      <c r="P93" s="5"/>
      <c r="Q93" s="5"/>
      <c r="R93" s="5"/>
      <c r="S9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D5BE7-983C-4429-BB0B-26EEBEA2FEBC}">
  <dimension ref="A1:R31"/>
  <sheetViews>
    <sheetView workbookViewId="0">
      <selection activeCell="R27" sqref="R27"/>
    </sheetView>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row r="29" spans="1:18" x14ac:dyDescent="0.3">
      <c r="A29" s="5"/>
      <c r="B29" s="5"/>
      <c r="C29" s="5"/>
      <c r="D29" s="5"/>
      <c r="E29" s="5"/>
      <c r="F29" s="5"/>
      <c r="G29" s="5"/>
      <c r="H29" s="5"/>
      <c r="I29" s="5"/>
      <c r="J29" s="5"/>
      <c r="K29" s="5"/>
      <c r="L29" s="5"/>
      <c r="M29" s="5"/>
      <c r="N29" s="5"/>
      <c r="O29" s="5"/>
      <c r="P29" s="5"/>
      <c r="Q29" s="5"/>
      <c r="R29" s="5"/>
    </row>
    <row r="30" spans="1:18" x14ac:dyDescent="0.3">
      <c r="A30" s="5"/>
      <c r="B30" s="5"/>
      <c r="C30" s="5"/>
      <c r="D30" s="5"/>
      <c r="E30" s="5"/>
      <c r="F30" s="5"/>
      <c r="G30" s="5"/>
      <c r="H30" s="5"/>
      <c r="I30" s="5"/>
      <c r="J30" s="5"/>
      <c r="K30" s="5"/>
      <c r="L30" s="5"/>
      <c r="M30" s="5"/>
      <c r="N30" s="5"/>
      <c r="O30" s="5"/>
      <c r="P30" s="5"/>
      <c r="Q30" s="5"/>
      <c r="R30" s="5"/>
    </row>
    <row r="31" spans="1:18" x14ac:dyDescent="0.3">
      <c r="A31" s="5"/>
      <c r="B31" s="5"/>
      <c r="C31" s="5"/>
      <c r="D31" s="5"/>
      <c r="E31" s="5"/>
      <c r="F31" s="5"/>
      <c r="G31" s="5"/>
      <c r="H31" s="5"/>
      <c r="I31" s="5"/>
      <c r="J31" s="5"/>
      <c r="K31" s="5"/>
      <c r="L31" s="5"/>
      <c r="M31" s="5"/>
      <c r="N31" s="5"/>
      <c r="O31" s="5"/>
      <c r="P31" s="5"/>
      <c r="Q31" s="5"/>
      <c r="R31"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B3FD-E937-4D8F-9537-16837E651FA0}">
  <dimension ref="A1:S93"/>
  <sheetViews>
    <sheetView topLeftCell="A4" workbookViewId="0">
      <selection activeCell="L31" sqref="L31"/>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row r="31" spans="1:19" x14ac:dyDescent="0.3">
      <c r="A31" s="5"/>
      <c r="B31" s="5"/>
      <c r="C31" s="5"/>
      <c r="D31" s="5"/>
      <c r="E31" s="5"/>
      <c r="F31" s="5"/>
      <c r="G31" s="5"/>
      <c r="H31" s="5"/>
      <c r="I31" s="5"/>
      <c r="J31" s="5"/>
      <c r="K31" s="5"/>
      <c r="L31" s="5"/>
      <c r="M31" s="5"/>
      <c r="N31" s="5"/>
      <c r="O31" s="5"/>
      <c r="P31" s="5"/>
      <c r="Q31" s="5"/>
      <c r="R31" s="5"/>
      <c r="S31" s="5"/>
    </row>
    <row r="32" spans="1:19" x14ac:dyDescent="0.3">
      <c r="A32" s="5"/>
      <c r="B32" s="5"/>
      <c r="C32" s="5"/>
      <c r="D32" s="5"/>
      <c r="E32" s="5"/>
      <c r="F32" s="5"/>
      <c r="G32" s="5"/>
      <c r="H32" s="5"/>
      <c r="I32" s="5"/>
      <c r="J32" s="5"/>
      <c r="K32" s="5"/>
      <c r="L32" s="5"/>
      <c r="M32" s="5"/>
      <c r="N32" s="5"/>
      <c r="O32" s="5"/>
      <c r="P32" s="5"/>
      <c r="Q32" s="5"/>
      <c r="R32" s="5"/>
      <c r="S32" s="5"/>
    </row>
    <row r="33" spans="1:19" x14ac:dyDescent="0.3">
      <c r="A33" s="5"/>
      <c r="B33" s="5"/>
      <c r="C33" s="5"/>
      <c r="D33" s="5"/>
      <c r="E33" s="5"/>
      <c r="F33" s="5"/>
      <c r="G33" s="5"/>
      <c r="H33" s="5"/>
      <c r="I33" s="5"/>
      <c r="J33" s="5"/>
      <c r="K33" s="5"/>
      <c r="L33" s="5"/>
      <c r="M33" s="5"/>
      <c r="N33" s="5"/>
      <c r="O33" s="5"/>
      <c r="P33" s="5"/>
      <c r="Q33" s="5"/>
      <c r="R33" s="5"/>
      <c r="S33" s="5"/>
    </row>
    <row r="34" spans="1:19" x14ac:dyDescent="0.3">
      <c r="A34" s="5"/>
      <c r="B34" s="5"/>
      <c r="C34" s="5"/>
      <c r="D34" s="5"/>
      <c r="E34" s="5"/>
      <c r="F34" s="5"/>
      <c r="G34" s="5"/>
      <c r="H34" s="5"/>
      <c r="I34" s="5"/>
      <c r="J34" s="5"/>
      <c r="K34" s="5"/>
      <c r="L34" s="5"/>
      <c r="M34" s="5"/>
      <c r="N34" s="5"/>
      <c r="O34" s="5"/>
      <c r="P34" s="5"/>
      <c r="Q34" s="5"/>
      <c r="R34" s="5"/>
      <c r="S34" s="5"/>
    </row>
    <row r="35" spans="1:19" x14ac:dyDescent="0.3">
      <c r="A35" s="5"/>
      <c r="B35" s="5"/>
      <c r="C35" s="5"/>
      <c r="D35" s="5"/>
      <c r="E35" s="5"/>
      <c r="F35" s="5"/>
      <c r="G35" s="5"/>
      <c r="H35" s="5"/>
      <c r="I35" s="5"/>
      <c r="J35" s="5"/>
      <c r="K35" s="5"/>
      <c r="L35" s="5"/>
      <c r="M35" s="5"/>
      <c r="N35" s="5"/>
      <c r="O35" s="5"/>
      <c r="P35" s="5"/>
      <c r="Q35" s="5"/>
      <c r="R35" s="5"/>
      <c r="S35" s="5"/>
    </row>
    <row r="36" spans="1:19" x14ac:dyDescent="0.3">
      <c r="A36" s="5"/>
      <c r="B36" s="5"/>
      <c r="C36" s="5"/>
      <c r="D36" s="5"/>
      <c r="E36" s="5"/>
      <c r="F36" s="5"/>
      <c r="G36" s="5"/>
      <c r="H36" s="5"/>
      <c r="I36" s="5"/>
      <c r="J36" s="5"/>
      <c r="K36" s="5"/>
      <c r="L36" s="5"/>
      <c r="M36" s="5"/>
      <c r="N36" s="5"/>
      <c r="O36" s="5"/>
      <c r="P36" s="5"/>
      <c r="Q36" s="5"/>
      <c r="R36" s="5"/>
      <c r="S36" s="5"/>
    </row>
    <row r="37" spans="1:19" x14ac:dyDescent="0.3">
      <c r="A37" s="5"/>
      <c r="B37" s="5"/>
      <c r="C37" s="5"/>
      <c r="D37" s="5"/>
      <c r="E37" s="5"/>
      <c r="F37" s="5"/>
      <c r="G37" s="5"/>
      <c r="H37" s="5"/>
      <c r="I37" s="5"/>
      <c r="J37" s="5"/>
      <c r="K37" s="5"/>
      <c r="L37" s="5"/>
      <c r="M37" s="5"/>
      <c r="N37" s="5"/>
      <c r="O37" s="5"/>
      <c r="P37" s="5"/>
      <c r="Q37" s="5"/>
      <c r="R37" s="5"/>
      <c r="S37" s="5"/>
    </row>
    <row r="38" spans="1:19" x14ac:dyDescent="0.3">
      <c r="A38" s="5"/>
      <c r="B38" s="5"/>
      <c r="C38" s="5"/>
      <c r="D38" s="5"/>
      <c r="E38" s="5"/>
      <c r="F38" s="5"/>
      <c r="G38" s="5"/>
      <c r="H38" s="5"/>
      <c r="I38" s="5"/>
      <c r="J38" s="5"/>
      <c r="K38" s="5"/>
      <c r="L38" s="5"/>
      <c r="M38" s="5"/>
      <c r="N38" s="5"/>
      <c r="O38" s="5"/>
      <c r="P38" s="5"/>
      <c r="Q38" s="5"/>
      <c r="R38" s="5"/>
      <c r="S38" s="5"/>
    </row>
    <row r="39" spans="1:19" x14ac:dyDescent="0.3">
      <c r="A39" s="5"/>
      <c r="B39" s="5"/>
      <c r="C39" s="5"/>
      <c r="D39" s="5"/>
      <c r="E39" s="5"/>
      <c r="F39" s="5"/>
      <c r="G39" s="5"/>
      <c r="H39" s="5"/>
      <c r="I39" s="5"/>
      <c r="J39" s="5"/>
      <c r="K39" s="5"/>
      <c r="L39" s="5"/>
      <c r="M39" s="5"/>
      <c r="N39" s="5"/>
      <c r="O39" s="5"/>
      <c r="P39" s="5"/>
      <c r="Q39" s="5"/>
      <c r="R39" s="5"/>
      <c r="S39" s="5"/>
    </row>
    <row r="40" spans="1:19" x14ac:dyDescent="0.3">
      <c r="A40" s="5"/>
      <c r="B40" s="5"/>
      <c r="C40" s="5"/>
      <c r="D40" s="5"/>
      <c r="E40" s="5"/>
      <c r="F40" s="5"/>
      <c r="G40" s="5"/>
      <c r="H40" s="5"/>
      <c r="I40" s="5"/>
      <c r="J40" s="5"/>
      <c r="K40" s="5"/>
      <c r="L40" s="5"/>
      <c r="M40" s="5"/>
      <c r="N40" s="5"/>
      <c r="O40" s="5"/>
      <c r="P40" s="5"/>
      <c r="Q40" s="5"/>
      <c r="R40" s="5"/>
      <c r="S40" s="5"/>
    </row>
    <row r="41" spans="1:19" x14ac:dyDescent="0.3">
      <c r="A41" s="5"/>
      <c r="B41" s="5"/>
      <c r="C41" s="5"/>
      <c r="D41" s="5"/>
      <c r="E41" s="5"/>
      <c r="F41" s="5"/>
      <c r="G41" s="5"/>
      <c r="H41" s="5"/>
      <c r="I41" s="5"/>
      <c r="J41" s="5"/>
      <c r="K41" s="5"/>
      <c r="L41" s="5"/>
      <c r="M41" s="5"/>
      <c r="N41" s="5"/>
      <c r="O41" s="5"/>
      <c r="P41" s="5"/>
      <c r="Q41" s="5"/>
      <c r="R41" s="5"/>
      <c r="S41" s="5"/>
    </row>
    <row r="42" spans="1:19" x14ac:dyDescent="0.3">
      <c r="A42" s="5"/>
      <c r="B42" s="5"/>
      <c r="C42" s="5"/>
      <c r="D42" s="5"/>
      <c r="E42" s="5"/>
      <c r="F42" s="5"/>
      <c r="G42" s="5"/>
      <c r="H42" s="5"/>
      <c r="I42" s="5"/>
      <c r="J42" s="5"/>
      <c r="K42" s="5"/>
      <c r="L42" s="5"/>
      <c r="M42" s="5"/>
      <c r="N42" s="5"/>
      <c r="O42" s="5"/>
      <c r="P42" s="5"/>
      <c r="Q42" s="5"/>
      <c r="R42" s="5"/>
      <c r="S42" s="5"/>
    </row>
    <row r="43" spans="1:19" x14ac:dyDescent="0.3">
      <c r="A43" s="5"/>
      <c r="B43" s="5"/>
      <c r="C43" s="5"/>
      <c r="D43" s="5"/>
      <c r="E43" s="5"/>
      <c r="F43" s="5"/>
      <c r="G43" s="5"/>
      <c r="H43" s="5"/>
      <c r="I43" s="5"/>
      <c r="J43" s="5"/>
      <c r="K43" s="5"/>
      <c r="L43" s="5"/>
      <c r="M43" s="5"/>
      <c r="N43" s="5"/>
      <c r="O43" s="5"/>
      <c r="P43" s="5"/>
      <c r="Q43" s="5"/>
      <c r="R43" s="5"/>
      <c r="S43" s="5"/>
    </row>
    <row r="44" spans="1:19" x14ac:dyDescent="0.3">
      <c r="A44" s="5"/>
      <c r="B44" s="5"/>
      <c r="C44" s="5"/>
      <c r="D44" s="5"/>
      <c r="E44" s="5"/>
      <c r="F44" s="5"/>
      <c r="G44" s="5"/>
      <c r="H44" s="5"/>
      <c r="I44" s="5"/>
      <c r="J44" s="5"/>
      <c r="K44" s="5"/>
      <c r="L44" s="5"/>
      <c r="M44" s="5"/>
      <c r="N44" s="5"/>
      <c r="O44" s="5"/>
      <c r="P44" s="5"/>
      <c r="Q44" s="5"/>
      <c r="R44" s="5"/>
      <c r="S44" s="5"/>
    </row>
    <row r="45" spans="1:19" x14ac:dyDescent="0.3">
      <c r="A45" s="5"/>
      <c r="B45" s="5"/>
      <c r="C45" s="5"/>
      <c r="D45" s="5"/>
      <c r="E45" s="5"/>
      <c r="F45" s="5"/>
      <c r="G45" s="5"/>
      <c r="H45" s="5"/>
      <c r="I45" s="5"/>
      <c r="J45" s="5"/>
      <c r="K45" s="5"/>
      <c r="L45" s="5"/>
      <c r="M45" s="5"/>
      <c r="N45" s="5"/>
      <c r="O45" s="5"/>
      <c r="P45" s="5"/>
      <c r="Q45" s="5"/>
      <c r="R45" s="5"/>
      <c r="S45" s="5"/>
    </row>
    <row r="46" spans="1:19" x14ac:dyDescent="0.3">
      <c r="A46" s="5"/>
      <c r="B46" s="5"/>
      <c r="C46" s="5"/>
      <c r="D46" s="5"/>
      <c r="E46" s="5"/>
      <c r="F46" s="5"/>
      <c r="G46" s="5"/>
      <c r="H46" s="5"/>
      <c r="I46" s="5"/>
      <c r="J46" s="5"/>
      <c r="K46" s="5"/>
      <c r="L46" s="5"/>
      <c r="M46" s="5"/>
      <c r="N46" s="5"/>
      <c r="O46" s="5"/>
      <c r="P46" s="5"/>
      <c r="Q46" s="5"/>
      <c r="R46" s="5"/>
      <c r="S46" s="5"/>
    </row>
    <row r="47" spans="1:19" x14ac:dyDescent="0.3">
      <c r="A47" s="5"/>
      <c r="B47" s="5"/>
      <c r="C47" s="5"/>
      <c r="D47" s="5"/>
      <c r="E47" s="5"/>
      <c r="F47" s="5"/>
      <c r="G47" s="5"/>
      <c r="H47" s="5"/>
      <c r="I47" s="5"/>
      <c r="J47" s="5"/>
      <c r="K47" s="5"/>
      <c r="L47" s="5"/>
      <c r="M47" s="5"/>
      <c r="N47" s="5"/>
      <c r="O47" s="5"/>
      <c r="P47" s="5"/>
      <c r="Q47" s="5"/>
      <c r="R47" s="5"/>
      <c r="S47" s="5"/>
    </row>
    <row r="48" spans="1:19" x14ac:dyDescent="0.3">
      <c r="A48" s="5"/>
      <c r="B48" s="5"/>
      <c r="C48" s="5"/>
      <c r="D48" s="5"/>
      <c r="E48" s="5"/>
      <c r="F48" s="5"/>
      <c r="G48" s="5"/>
      <c r="H48" s="5"/>
      <c r="I48" s="5"/>
      <c r="J48" s="5"/>
      <c r="K48" s="5"/>
      <c r="L48" s="5"/>
      <c r="M48" s="5"/>
      <c r="N48" s="5"/>
      <c r="O48" s="5"/>
      <c r="P48" s="5"/>
      <c r="Q48" s="5"/>
      <c r="R48" s="5"/>
      <c r="S48" s="5"/>
    </row>
    <row r="49" spans="1:19" x14ac:dyDescent="0.3">
      <c r="A49" s="5"/>
      <c r="B49" s="5"/>
      <c r="C49" s="5"/>
      <c r="D49" s="5"/>
      <c r="E49" s="5"/>
      <c r="F49" s="5"/>
      <c r="G49" s="5"/>
      <c r="H49" s="5"/>
      <c r="I49" s="5"/>
      <c r="J49" s="5"/>
      <c r="K49" s="5"/>
      <c r="L49" s="5"/>
      <c r="M49" s="5"/>
      <c r="N49" s="5"/>
      <c r="O49" s="5"/>
      <c r="P49" s="5"/>
      <c r="Q49" s="5"/>
      <c r="R49" s="5"/>
      <c r="S49" s="5"/>
    </row>
    <row r="50" spans="1:19" x14ac:dyDescent="0.3">
      <c r="A50" s="5"/>
      <c r="B50" s="5"/>
      <c r="C50" s="5"/>
      <c r="D50" s="5"/>
      <c r="E50" s="5"/>
      <c r="F50" s="5"/>
      <c r="G50" s="5"/>
      <c r="H50" s="5"/>
      <c r="I50" s="5"/>
      <c r="J50" s="5"/>
      <c r="K50" s="5"/>
      <c r="L50" s="5"/>
      <c r="M50" s="5"/>
      <c r="N50" s="5"/>
      <c r="O50" s="5"/>
      <c r="P50" s="5"/>
      <c r="Q50" s="5"/>
      <c r="R50" s="5"/>
      <c r="S50" s="5"/>
    </row>
    <row r="51" spans="1:19" x14ac:dyDescent="0.3">
      <c r="A51" s="5"/>
      <c r="B51" s="5"/>
      <c r="C51" s="5"/>
      <c r="D51" s="5"/>
      <c r="E51" s="5"/>
      <c r="F51" s="5"/>
      <c r="G51" s="5"/>
      <c r="H51" s="5"/>
      <c r="I51" s="5"/>
      <c r="J51" s="5"/>
      <c r="K51" s="5"/>
      <c r="L51" s="5"/>
      <c r="M51" s="5"/>
      <c r="N51" s="5"/>
      <c r="O51" s="5"/>
      <c r="P51" s="5"/>
      <c r="Q51" s="5"/>
      <c r="R51" s="5"/>
      <c r="S51" s="5"/>
    </row>
    <row r="52" spans="1:19" x14ac:dyDescent="0.3">
      <c r="A52" s="5"/>
      <c r="B52" s="5"/>
      <c r="C52" s="5"/>
      <c r="D52" s="5"/>
      <c r="E52" s="5"/>
      <c r="F52" s="5"/>
      <c r="G52" s="5"/>
      <c r="H52" s="5"/>
      <c r="I52" s="5"/>
      <c r="J52" s="5"/>
      <c r="K52" s="5"/>
      <c r="L52" s="5"/>
      <c r="M52" s="5"/>
      <c r="N52" s="5"/>
      <c r="O52" s="5"/>
      <c r="P52" s="5"/>
      <c r="Q52" s="5"/>
      <c r="R52" s="5"/>
      <c r="S52" s="5"/>
    </row>
    <row r="53" spans="1:19" x14ac:dyDescent="0.3">
      <c r="A53" s="5"/>
      <c r="B53" s="5"/>
      <c r="C53" s="5"/>
      <c r="D53" s="5"/>
      <c r="E53" s="5"/>
      <c r="F53" s="5"/>
      <c r="G53" s="5"/>
      <c r="H53" s="5"/>
      <c r="I53" s="5"/>
      <c r="J53" s="5"/>
      <c r="K53" s="5"/>
      <c r="L53" s="5"/>
      <c r="M53" s="5"/>
      <c r="N53" s="5"/>
      <c r="O53" s="5"/>
      <c r="P53" s="5"/>
      <c r="Q53" s="5"/>
      <c r="R53" s="5"/>
      <c r="S53" s="5"/>
    </row>
    <row r="54" spans="1:19" x14ac:dyDescent="0.3">
      <c r="A54" s="5"/>
      <c r="B54" s="5"/>
      <c r="C54" s="5"/>
      <c r="D54" s="5"/>
      <c r="E54" s="5"/>
      <c r="F54" s="5"/>
      <c r="G54" s="5"/>
      <c r="H54" s="5"/>
      <c r="I54" s="5"/>
      <c r="J54" s="5"/>
      <c r="K54" s="5"/>
      <c r="L54" s="5"/>
      <c r="M54" s="5"/>
      <c r="N54" s="5"/>
      <c r="O54" s="5"/>
      <c r="P54" s="5"/>
      <c r="Q54" s="5"/>
      <c r="R54" s="5"/>
      <c r="S54" s="5"/>
    </row>
    <row r="55" spans="1:19" x14ac:dyDescent="0.3">
      <c r="A55" s="5"/>
      <c r="B55" s="5"/>
      <c r="C55" s="5"/>
      <c r="D55" s="5"/>
      <c r="E55" s="5"/>
      <c r="F55" s="5"/>
      <c r="G55" s="5"/>
      <c r="H55" s="5"/>
      <c r="I55" s="5"/>
      <c r="J55" s="5"/>
      <c r="K55" s="5"/>
      <c r="L55" s="5"/>
      <c r="M55" s="5"/>
      <c r="N55" s="5"/>
      <c r="O55" s="5"/>
      <c r="P55" s="5"/>
      <c r="Q55" s="5"/>
      <c r="R55" s="5"/>
      <c r="S55" s="5"/>
    </row>
    <row r="56" spans="1:19" x14ac:dyDescent="0.3">
      <c r="A56" s="5"/>
      <c r="B56" s="5"/>
      <c r="C56" s="5"/>
      <c r="D56" s="5"/>
      <c r="E56" s="5"/>
      <c r="F56" s="5"/>
      <c r="G56" s="5"/>
      <c r="H56" s="5"/>
      <c r="I56" s="5"/>
      <c r="J56" s="5"/>
      <c r="K56" s="5"/>
      <c r="L56" s="5"/>
      <c r="M56" s="5"/>
      <c r="N56" s="5"/>
      <c r="O56" s="5"/>
      <c r="P56" s="5"/>
      <c r="Q56" s="5"/>
      <c r="R56" s="5"/>
      <c r="S56" s="5"/>
    </row>
    <row r="57" spans="1:19" x14ac:dyDescent="0.3">
      <c r="A57" s="5"/>
      <c r="B57" s="5"/>
      <c r="C57" s="5"/>
      <c r="D57" s="5"/>
      <c r="E57" s="5"/>
      <c r="F57" s="5"/>
      <c r="G57" s="5"/>
      <c r="H57" s="5"/>
      <c r="I57" s="5"/>
      <c r="J57" s="5"/>
      <c r="K57" s="5"/>
      <c r="L57" s="5"/>
      <c r="M57" s="5"/>
      <c r="N57" s="5"/>
      <c r="O57" s="5"/>
      <c r="P57" s="5"/>
      <c r="Q57" s="5"/>
      <c r="R57" s="5"/>
      <c r="S57" s="5"/>
    </row>
    <row r="58" spans="1:19" x14ac:dyDescent="0.3">
      <c r="A58" s="5"/>
      <c r="B58" s="5"/>
      <c r="C58" s="5"/>
      <c r="D58" s="5"/>
      <c r="E58" s="5"/>
      <c r="F58" s="5"/>
      <c r="G58" s="5"/>
      <c r="H58" s="5"/>
      <c r="I58" s="5"/>
      <c r="J58" s="5"/>
      <c r="K58" s="5"/>
      <c r="L58" s="5"/>
      <c r="M58" s="5"/>
      <c r="N58" s="5"/>
      <c r="O58" s="5"/>
      <c r="P58" s="5"/>
      <c r="Q58" s="5"/>
      <c r="R58" s="5"/>
      <c r="S58" s="5"/>
    </row>
    <row r="59" spans="1:19" x14ac:dyDescent="0.3">
      <c r="A59" s="5"/>
      <c r="B59" s="5"/>
      <c r="C59" s="5"/>
      <c r="D59" s="5"/>
      <c r="E59" s="5"/>
      <c r="F59" s="5"/>
      <c r="G59" s="5"/>
      <c r="H59" s="5"/>
      <c r="I59" s="5"/>
      <c r="J59" s="5"/>
      <c r="K59" s="5"/>
      <c r="L59" s="5"/>
      <c r="M59" s="5"/>
      <c r="N59" s="5"/>
      <c r="O59" s="5"/>
      <c r="P59" s="5"/>
      <c r="Q59" s="5"/>
      <c r="R59" s="5"/>
      <c r="S59" s="5"/>
    </row>
    <row r="60" spans="1:19" x14ac:dyDescent="0.3">
      <c r="A60" s="5"/>
      <c r="B60" s="5"/>
      <c r="C60" s="5"/>
      <c r="D60" s="5"/>
      <c r="E60" s="5"/>
      <c r="F60" s="5"/>
      <c r="G60" s="5"/>
      <c r="H60" s="5"/>
      <c r="I60" s="5"/>
      <c r="J60" s="5"/>
      <c r="K60" s="5"/>
      <c r="L60" s="5"/>
      <c r="M60" s="5"/>
      <c r="N60" s="5"/>
      <c r="O60" s="5"/>
      <c r="P60" s="5"/>
      <c r="Q60" s="5"/>
      <c r="R60" s="5"/>
      <c r="S60" s="5"/>
    </row>
    <row r="61" spans="1:19" x14ac:dyDescent="0.3">
      <c r="A61" s="5"/>
      <c r="B61" s="5"/>
      <c r="C61" s="5"/>
      <c r="D61" s="5"/>
      <c r="E61" s="5"/>
      <c r="F61" s="5"/>
      <c r="G61" s="5"/>
      <c r="H61" s="5"/>
      <c r="I61" s="5"/>
      <c r="J61" s="5"/>
      <c r="K61" s="5"/>
      <c r="L61" s="5"/>
      <c r="M61" s="5"/>
      <c r="N61" s="5"/>
      <c r="O61" s="5"/>
      <c r="P61" s="5"/>
      <c r="Q61" s="5"/>
      <c r="R61" s="5"/>
      <c r="S61" s="5"/>
    </row>
    <row r="62" spans="1:19" x14ac:dyDescent="0.3">
      <c r="A62" s="5"/>
      <c r="B62" s="5"/>
      <c r="C62" s="5"/>
      <c r="D62" s="5"/>
      <c r="E62" s="5"/>
      <c r="F62" s="5"/>
      <c r="G62" s="5"/>
      <c r="H62" s="5"/>
      <c r="I62" s="5"/>
      <c r="J62" s="5"/>
      <c r="K62" s="5"/>
      <c r="L62" s="5"/>
      <c r="M62" s="5"/>
      <c r="N62" s="5"/>
      <c r="O62" s="5"/>
      <c r="P62" s="5"/>
      <c r="Q62" s="5"/>
      <c r="R62" s="5"/>
      <c r="S62" s="5"/>
    </row>
    <row r="63" spans="1:19" x14ac:dyDescent="0.3">
      <c r="A63" s="5"/>
      <c r="B63" s="5"/>
      <c r="C63" s="5"/>
      <c r="D63" s="5"/>
      <c r="E63" s="5"/>
      <c r="F63" s="5"/>
      <c r="G63" s="5"/>
      <c r="H63" s="5"/>
      <c r="I63" s="5"/>
      <c r="J63" s="5"/>
      <c r="K63" s="5"/>
      <c r="L63" s="5"/>
      <c r="M63" s="5"/>
      <c r="N63" s="5"/>
      <c r="O63" s="5"/>
      <c r="P63" s="5"/>
      <c r="Q63" s="5"/>
      <c r="R63" s="5"/>
      <c r="S63" s="5"/>
    </row>
    <row r="64" spans="1:19" x14ac:dyDescent="0.3">
      <c r="A64" s="5"/>
      <c r="B64" s="5"/>
      <c r="C64" s="5"/>
      <c r="D64" s="5"/>
      <c r="E64" s="5"/>
      <c r="F64" s="5"/>
      <c r="G64" s="5"/>
      <c r="H64" s="5"/>
      <c r="I64" s="5"/>
      <c r="J64" s="5"/>
      <c r="K64" s="5"/>
      <c r="L64" s="5"/>
      <c r="M64" s="5"/>
      <c r="N64" s="5"/>
      <c r="O64" s="5"/>
      <c r="P64" s="5"/>
      <c r="Q64" s="5"/>
      <c r="R64" s="5"/>
      <c r="S64" s="5"/>
    </row>
    <row r="65" spans="1:19" x14ac:dyDescent="0.3">
      <c r="A65" s="5"/>
      <c r="B65" s="5"/>
      <c r="C65" s="5"/>
      <c r="D65" s="5"/>
      <c r="E65" s="5"/>
      <c r="F65" s="5"/>
      <c r="G65" s="5"/>
      <c r="H65" s="5"/>
      <c r="I65" s="5"/>
      <c r="J65" s="5"/>
      <c r="K65" s="5"/>
      <c r="L65" s="5"/>
      <c r="M65" s="5"/>
      <c r="N65" s="5"/>
      <c r="O65" s="5"/>
      <c r="P65" s="5"/>
      <c r="Q65" s="5"/>
      <c r="R65" s="5"/>
      <c r="S65" s="5"/>
    </row>
    <row r="66" spans="1:19" x14ac:dyDescent="0.3">
      <c r="A66" s="5"/>
      <c r="B66" s="5"/>
      <c r="C66" s="5"/>
      <c r="D66" s="5"/>
      <c r="E66" s="5"/>
      <c r="F66" s="5"/>
      <c r="G66" s="5"/>
      <c r="H66" s="5"/>
      <c r="I66" s="5"/>
      <c r="J66" s="5"/>
      <c r="K66" s="5"/>
      <c r="L66" s="5"/>
      <c r="M66" s="5"/>
      <c r="N66" s="5"/>
      <c r="O66" s="5"/>
      <c r="P66" s="5"/>
      <c r="Q66" s="5"/>
      <c r="R66" s="5"/>
      <c r="S66" s="5"/>
    </row>
    <row r="67" spans="1:19" x14ac:dyDescent="0.3">
      <c r="A67" s="5"/>
      <c r="B67" s="5"/>
      <c r="C67" s="5"/>
      <c r="D67" s="5"/>
      <c r="E67" s="5"/>
      <c r="F67" s="5"/>
      <c r="G67" s="5"/>
      <c r="H67" s="5"/>
      <c r="I67" s="5"/>
      <c r="J67" s="5"/>
      <c r="K67" s="5"/>
      <c r="L67" s="5"/>
      <c r="M67" s="5"/>
      <c r="N67" s="5"/>
      <c r="O67" s="5"/>
      <c r="P67" s="5"/>
      <c r="Q67" s="5"/>
      <c r="R67" s="5"/>
      <c r="S67" s="5"/>
    </row>
    <row r="68" spans="1:19" x14ac:dyDescent="0.3">
      <c r="A68" s="5"/>
      <c r="B68" s="5"/>
      <c r="C68" s="5"/>
      <c r="D68" s="5"/>
      <c r="E68" s="5"/>
      <c r="F68" s="5"/>
      <c r="G68" s="5"/>
      <c r="H68" s="5"/>
      <c r="I68" s="5"/>
      <c r="J68" s="5"/>
      <c r="K68" s="5"/>
      <c r="L68" s="5"/>
      <c r="M68" s="5"/>
      <c r="N68" s="5"/>
      <c r="O68" s="5"/>
      <c r="P68" s="5"/>
      <c r="Q68" s="5"/>
      <c r="R68" s="5"/>
      <c r="S68" s="5"/>
    </row>
    <row r="69" spans="1:19" x14ac:dyDescent="0.3">
      <c r="A69" s="5"/>
      <c r="B69" s="5"/>
      <c r="C69" s="5"/>
      <c r="D69" s="5"/>
      <c r="E69" s="5"/>
      <c r="F69" s="5"/>
      <c r="G69" s="5"/>
      <c r="H69" s="5"/>
      <c r="I69" s="5"/>
      <c r="J69" s="5"/>
      <c r="K69" s="5"/>
      <c r="L69" s="5"/>
      <c r="M69" s="5"/>
      <c r="N69" s="5"/>
      <c r="O69" s="5"/>
      <c r="P69" s="5"/>
      <c r="Q69" s="5"/>
      <c r="R69" s="5"/>
      <c r="S69" s="5"/>
    </row>
    <row r="70" spans="1:19" x14ac:dyDescent="0.3">
      <c r="A70" s="5"/>
      <c r="B70" s="5"/>
      <c r="C70" s="5"/>
      <c r="D70" s="5"/>
      <c r="E70" s="5"/>
      <c r="F70" s="5"/>
      <c r="G70" s="5"/>
      <c r="H70" s="5"/>
      <c r="I70" s="5"/>
      <c r="J70" s="5"/>
      <c r="K70" s="5"/>
      <c r="L70" s="5"/>
      <c r="M70" s="5"/>
      <c r="N70" s="5"/>
      <c r="O70" s="5"/>
      <c r="P70" s="5"/>
      <c r="Q70" s="5"/>
      <c r="R70" s="5"/>
      <c r="S70" s="5"/>
    </row>
    <row r="71" spans="1:19" x14ac:dyDescent="0.3">
      <c r="A71" s="5"/>
      <c r="B71" s="5"/>
      <c r="C71" s="5"/>
      <c r="D71" s="5"/>
      <c r="E71" s="5"/>
      <c r="F71" s="5"/>
      <c r="G71" s="5"/>
      <c r="H71" s="5"/>
      <c r="I71" s="5"/>
      <c r="J71" s="5"/>
      <c r="K71" s="5"/>
      <c r="L71" s="5"/>
      <c r="M71" s="5"/>
      <c r="N71" s="5"/>
      <c r="O71" s="5"/>
      <c r="P71" s="5"/>
      <c r="Q71" s="5"/>
      <c r="R71" s="5"/>
      <c r="S71" s="5"/>
    </row>
    <row r="72" spans="1:19" x14ac:dyDescent="0.3">
      <c r="A72" s="5"/>
      <c r="B72" s="5"/>
      <c r="C72" s="5"/>
      <c r="D72" s="5"/>
      <c r="E72" s="5"/>
      <c r="F72" s="5"/>
      <c r="G72" s="5"/>
      <c r="H72" s="5"/>
      <c r="I72" s="5"/>
      <c r="J72" s="5"/>
      <c r="K72" s="5"/>
      <c r="L72" s="5"/>
      <c r="M72" s="5"/>
      <c r="N72" s="5"/>
      <c r="O72" s="5"/>
      <c r="P72" s="5"/>
      <c r="Q72" s="5"/>
      <c r="R72" s="5"/>
      <c r="S72" s="5"/>
    </row>
    <row r="73" spans="1:19" x14ac:dyDescent="0.3">
      <c r="A73" s="5"/>
      <c r="B73" s="5"/>
      <c r="C73" s="5"/>
      <c r="D73" s="5"/>
      <c r="E73" s="5"/>
      <c r="F73" s="5"/>
      <c r="G73" s="5"/>
      <c r="H73" s="5"/>
      <c r="I73" s="5"/>
      <c r="J73" s="5"/>
      <c r="K73" s="5"/>
      <c r="L73" s="5"/>
      <c r="M73" s="5"/>
      <c r="N73" s="5"/>
      <c r="O73" s="5"/>
      <c r="P73" s="5"/>
      <c r="Q73" s="5"/>
      <c r="R73" s="5"/>
      <c r="S73" s="5"/>
    </row>
    <row r="74" spans="1:19" x14ac:dyDescent="0.3">
      <c r="A74" s="5"/>
      <c r="B74" s="5"/>
      <c r="C74" s="5"/>
      <c r="D74" s="5"/>
      <c r="E74" s="5"/>
      <c r="F74" s="5"/>
      <c r="G74" s="5"/>
      <c r="H74" s="5"/>
      <c r="I74" s="5"/>
      <c r="J74" s="5"/>
      <c r="K74" s="5"/>
      <c r="L74" s="5"/>
      <c r="M74" s="5"/>
      <c r="N74" s="5"/>
      <c r="O74" s="5"/>
      <c r="P74" s="5"/>
      <c r="Q74" s="5"/>
      <c r="R74" s="5"/>
      <c r="S74" s="5"/>
    </row>
    <row r="75" spans="1:19" x14ac:dyDescent="0.3">
      <c r="A75" s="5"/>
      <c r="B75" s="5"/>
      <c r="C75" s="5"/>
      <c r="D75" s="5"/>
      <c r="E75" s="5"/>
      <c r="F75" s="5"/>
      <c r="G75" s="5"/>
      <c r="H75" s="5"/>
      <c r="I75" s="5"/>
      <c r="J75" s="5"/>
      <c r="K75" s="5"/>
      <c r="L75" s="5"/>
      <c r="M75" s="5"/>
      <c r="N75" s="5"/>
      <c r="O75" s="5"/>
      <c r="P75" s="5"/>
      <c r="Q75" s="5"/>
      <c r="R75" s="5"/>
      <c r="S75" s="5"/>
    </row>
    <row r="76" spans="1:19" x14ac:dyDescent="0.3">
      <c r="A76" s="5"/>
      <c r="B76" s="5"/>
      <c r="C76" s="5"/>
      <c r="D76" s="5"/>
      <c r="E76" s="5"/>
      <c r="F76" s="5"/>
      <c r="G76" s="5"/>
      <c r="H76" s="5"/>
      <c r="I76" s="5"/>
      <c r="J76" s="5"/>
      <c r="K76" s="5"/>
      <c r="L76" s="5"/>
      <c r="M76" s="5"/>
      <c r="N76" s="5"/>
      <c r="O76" s="5"/>
      <c r="P76" s="5"/>
      <c r="Q76" s="5"/>
      <c r="R76" s="5"/>
      <c r="S76" s="5"/>
    </row>
    <row r="77" spans="1:19" x14ac:dyDescent="0.3">
      <c r="A77" s="5"/>
      <c r="B77" s="5"/>
      <c r="C77" s="5"/>
      <c r="D77" s="5"/>
      <c r="E77" s="5"/>
      <c r="F77" s="5"/>
      <c r="G77" s="5"/>
      <c r="H77" s="5"/>
      <c r="I77" s="5"/>
      <c r="J77" s="5"/>
      <c r="K77" s="5"/>
      <c r="L77" s="5"/>
      <c r="M77" s="5"/>
      <c r="N77" s="5"/>
      <c r="O77" s="5"/>
      <c r="P77" s="5"/>
      <c r="Q77" s="5"/>
      <c r="R77" s="5"/>
      <c r="S77" s="5"/>
    </row>
    <row r="78" spans="1:19" x14ac:dyDescent="0.3">
      <c r="A78" s="5"/>
      <c r="B78" s="5"/>
      <c r="C78" s="5"/>
      <c r="D78" s="5"/>
      <c r="E78" s="5"/>
      <c r="F78" s="5"/>
      <c r="G78" s="5"/>
      <c r="H78" s="5"/>
      <c r="I78" s="5"/>
      <c r="J78" s="5"/>
      <c r="K78" s="5"/>
      <c r="L78" s="5"/>
      <c r="M78" s="5"/>
      <c r="N78" s="5"/>
      <c r="O78" s="5"/>
      <c r="P78" s="5"/>
      <c r="Q78" s="5"/>
      <c r="R78" s="5"/>
      <c r="S78" s="5"/>
    </row>
    <row r="79" spans="1:19" x14ac:dyDescent="0.3">
      <c r="A79" s="5"/>
      <c r="B79" s="5"/>
      <c r="C79" s="5"/>
      <c r="D79" s="5"/>
      <c r="E79" s="5"/>
      <c r="F79" s="5"/>
      <c r="G79" s="5"/>
      <c r="H79" s="5"/>
      <c r="I79" s="5"/>
      <c r="J79" s="5"/>
      <c r="K79" s="5"/>
      <c r="L79" s="5"/>
      <c r="M79" s="5"/>
      <c r="N79" s="5"/>
      <c r="O79" s="5"/>
      <c r="P79" s="5"/>
      <c r="Q79" s="5"/>
      <c r="R79" s="5"/>
      <c r="S79" s="5"/>
    </row>
    <row r="80" spans="1:19" x14ac:dyDescent="0.3">
      <c r="A80" s="5"/>
      <c r="B80" s="5"/>
      <c r="C80" s="5"/>
      <c r="D80" s="5"/>
      <c r="E80" s="5"/>
      <c r="F80" s="5"/>
      <c r="G80" s="5"/>
      <c r="H80" s="5"/>
      <c r="I80" s="5"/>
      <c r="J80" s="5"/>
      <c r="K80" s="5"/>
      <c r="L80" s="5"/>
      <c r="M80" s="5"/>
      <c r="N80" s="5"/>
      <c r="O80" s="5"/>
      <c r="P80" s="5"/>
      <c r="Q80" s="5"/>
      <c r="R80" s="5"/>
      <c r="S80" s="5"/>
    </row>
    <row r="81" spans="1:19" x14ac:dyDescent="0.3">
      <c r="A81" s="5"/>
      <c r="B81" s="5"/>
      <c r="C81" s="5"/>
      <c r="D81" s="5"/>
      <c r="E81" s="5"/>
      <c r="F81" s="5"/>
      <c r="G81" s="5"/>
      <c r="H81" s="5"/>
      <c r="I81" s="5"/>
      <c r="J81" s="5"/>
      <c r="K81" s="5"/>
      <c r="L81" s="5"/>
      <c r="M81" s="5"/>
      <c r="N81" s="5"/>
      <c r="O81" s="5"/>
      <c r="P81" s="5"/>
      <c r="Q81" s="5"/>
      <c r="R81" s="5"/>
      <c r="S81" s="5"/>
    </row>
    <row r="82" spans="1:19" x14ac:dyDescent="0.3">
      <c r="A82" s="5"/>
      <c r="B82" s="5"/>
      <c r="C82" s="5"/>
      <c r="D82" s="5"/>
      <c r="E82" s="5"/>
      <c r="F82" s="5"/>
      <c r="G82" s="5"/>
      <c r="H82" s="5"/>
      <c r="I82" s="5"/>
      <c r="J82" s="5"/>
      <c r="K82" s="5"/>
      <c r="L82" s="5"/>
      <c r="M82" s="5"/>
      <c r="N82" s="5"/>
      <c r="O82" s="5"/>
      <c r="P82" s="5"/>
      <c r="Q82" s="5"/>
      <c r="R82" s="5"/>
      <c r="S82" s="5"/>
    </row>
    <row r="83" spans="1:19" x14ac:dyDescent="0.3">
      <c r="A83" s="5"/>
      <c r="B83" s="5"/>
      <c r="C83" s="5"/>
      <c r="D83" s="5"/>
      <c r="E83" s="5"/>
      <c r="F83" s="5"/>
      <c r="G83" s="5"/>
      <c r="H83" s="5"/>
      <c r="I83" s="5"/>
      <c r="J83" s="5"/>
      <c r="K83" s="5"/>
      <c r="L83" s="5"/>
      <c r="M83" s="5"/>
      <c r="N83" s="5"/>
      <c r="O83" s="5"/>
      <c r="P83" s="5"/>
      <c r="Q83" s="5"/>
      <c r="R83" s="5"/>
      <c r="S83" s="5"/>
    </row>
    <row r="84" spans="1:19" x14ac:dyDescent="0.3">
      <c r="A84" s="5"/>
      <c r="B84" s="5"/>
      <c r="C84" s="5"/>
      <c r="D84" s="5"/>
      <c r="E84" s="5"/>
      <c r="F84" s="5"/>
      <c r="G84" s="5"/>
      <c r="H84" s="5"/>
      <c r="I84" s="5"/>
      <c r="J84" s="5"/>
      <c r="K84" s="5"/>
      <c r="L84" s="5"/>
      <c r="M84" s="5"/>
      <c r="N84" s="5"/>
      <c r="O84" s="5"/>
      <c r="P84" s="5"/>
      <c r="Q84" s="5"/>
      <c r="R84" s="5"/>
      <c r="S84" s="5"/>
    </row>
    <row r="85" spans="1:19" x14ac:dyDescent="0.3">
      <c r="A85" s="5"/>
      <c r="B85" s="5"/>
      <c r="C85" s="5"/>
      <c r="D85" s="5"/>
      <c r="E85" s="5"/>
      <c r="F85" s="5"/>
      <c r="G85" s="5"/>
      <c r="H85" s="5"/>
      <c r="I85" s="5"/>
      <c r="J85" s="5"/>
      <c r="K85" s="5"/>
      <c r="L85" s="5"/>
      <c r="M85" s="5"/>
      <c r="N85" s="5"/>
      <c r="O85" s="5"/>
      <c r="P85" s="5"/>
      <c r="Q85" s="5"/>
      <c r="R85" s="5"/>
      <c r="S85" s="5"/>
    </row>
    <row r="86" spans="1:19" x14ac:dyDescent="0.3">
      <c r="A86" s="5"/>
      <c r="B86" s="5"/>
      <c r="C86" s="5"/>
      <c r="D86" s="5"/>
      <c r="E86" s="5"/>
      <c r="F86" s="5"/>
      <c r="G86" s="5"/>
      <c r="H86" s="5"/>
      <c r="I86" s="5"/>
      <c r="J86" s="5"/>
      <c r="K86" s="5"/>
      <c r="L86" s="5"/>
      <c r="M86" s="5"/>
      <c r="N86" s="5"/>
      <c r="O86" s="5"/>
      <c r="P86" s="5"/>
      <c r="Q86" s="5"/>
      <c r="R86" s="5"/>
      <c r="S86" s="5"/>
    </row>
    <row r="87" spans="1:19" x14ac:dyDescent="0.3">
      <c r="A87" s="5"/>
      <c r="B87" s="5"/>
      <c r="C87" s="5"/>
      <c r="D87" s="5"/>
      <c r="E87" s="5"/>
      <c r="F87" s="5"/>
      <c r="G87" s="5"/>
      <c r="H87" s="5"/>
      <c r="I87" s="5"/>
      <c r="J87" s="5"/>
      <c r="K87" s="5"/>
      <c r="L87" s="5"/>
      <c r="M87" s="5"/>
      <c r="N87" s="5"/>
      <c r="O87" s="5"/>
      <c r="P87" s="5"/>
      <c r="Q87" s="5"/>
      <c r="R87" s="5"/>
      <c r="S87" s="5"/>
    </row>
    <row r="88" spans="1:19" x14ac:dyDescent="0.3">
      <c r="A88" s="5"/>
      <c r="B88" s="5"/>
      <c r="C88" s="5"/>
      <c r="D88" s="5"/>
      <c r="E88" s="5"/>
      <c r="F88" s="5"/>
      <c r="G88" s="5"/>
      <c r="H88" s="5"/>
      <c r="I88" s="5"/>
      <c r="J88" s="5"/>
      <c r="K88" s="5"/>
      <c r="L88" s="5"/>
      <c r="M88" s="5"/>
      <c r="N88" s="5"/>
      <c r="O88" s="5"/>
      <c r="P88" s="5"/>
      <c r="Q88" s="5"/>
      <c r="R88" s="5"/>
      <c r="S88" s="5"/>
    </row>
    <row r="89" spans="1:19" x14ac:dyDescent="0.3">
      <c r="A89" s="5"/>
      <c r="B89" s="5"/>
      <c r="C89" s="5"/>
      <c r="D89" s="5"/>
      <c r="E89" s="5"/>
      <c r="F89" s="5"/>
      <c r="G89" s="5"/>
      <c r="H89" s="5"/>
      <c r="I89" s="5"/>
      <c r="J89" s="5"/>
      <c r="K89" s="5"/>
      <c r="L89" s="5"/>
      <c r="M89" s="5"/>
      <c r="N89" s="5"/>
      <c r="O89" s="5"/>
      <c r="P89" s="5"/>
      <c r="Q89" s="5"/>
      <c r="R89" s="5"/>
      <c r="S89" s="5"/>
    </row>
    <row r="90" spans="1:19" x14ac:dyDescent="0.3">
      <c r="A90" s="5"/>
      <c r="B90" s="5"/>
      <c r="C90" s="5"/>
      <c r="D90" s="5"/>
      <c r="E90" s="5"/>
      <c r="F90" s="5"/>
      <c r="G90" s="5"/>
      <c r="H90" s="5"/>
      <c r="I90" s="5"/>
      <c r="J90" s="5"/>
      <c r="K90" s="5"/>
      <c r="L90" s="5"/>
      <c r="M90" s="5"/>
      <c r="N90" s="5"/>
      <c r="O90" s="5"/>
      <c r="P90" s="5"/>
      <c r="Q90" s="5"/>
      <c r="R90" s="5"/>
      <c r="S90" s="5"/>
    </row>
    <row r="91" spans="1:19" x14ac:dyDescent="0.3">
      <c r="A91" s="5"/>
      <c r="B91" s="5"/>
      <c r="C91" s="5"/>
      <c r="D91" s="5"/>
      <c r="E91" s="5"/>
      <c r="F91" s="5"/>
      <c r="G91" s="5"/>
      <c r="H91" s="5"/>
      <c r="I91" s="5"/>
      <c r="J91" s="5"/>
      <c r="K91" s="5"/>
      <c r="L91" s="5"/>
      <c r="M91" s="5"/>
      <c r="N91" s="5"/>
      <c r="O91" s="5"/>
      <c r="P91" s="5"/>
      <c r="Q91" s="5"/>
      <c r="R91" s="5"/>
      <c r="S91" s="5"/>
    </row>
    <row r="92" spans="1:19" x14ac:dyDescent="0.3">
      <c r="A92" s="5"/>
      <c r="B92" s="5"/>
      <c r="C92" s="5"/>
      <c r="D92" s="5"/>
      <c r="E92" s="5"/>
      <c r="F92" s="5"/>
      <c r="G92" s="5"/>
      <c r="H92" s="5"/>
      <c r="I92" s="5"/>
      <c r="J92" s="5"/>
      <c r="K92" s="5"/>
      <c r="L92" s="5"/>
      <c r="M92" s="5"/>
      <c r="N92" s="5"/>
      <c r="O92" s="5"/>
      <c r="P92" s="5"/>
      <c r="Q92" s="5"/>
      <c r="R92" s="5"/>
      <c r="S92" s="5"/>
    </row>
    <row r="93" spans="1:19" x14ac:dyDescent="0.3">
      <c r="A93" s="5"/>
      <c r="B93" s="5"/>
      <c r="C93" s="5"/>
      <c r="D93" s="5"/>
      <c r="E93" s="5"/>
      <c r="F93" s="5"/>
      <c r="G93" s="5"/>
      <c r="H93" s="5"/>
      <c r="I93" s="5"/>
      <c r="J93" s="5"/>
      <c r="K93" s="5"/>
      <c r="L93" s="5"/>
      <c r="M93" s="5"/>
      <c r="N93" s="5"/>
      <c r="O93" s="5"/>
      <c r="P93" s="5"/>
      <c r="Q93" s="5"/>
      <c r="R93" s="5"/>
      <c r="S9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5BD0BE7-49C0-42A5-BE3D-C287F7031190}">
  <ds:schemaRefs/>
</ds:datastoreItem>
</file>

<file path=customXml/itemProps2.xml><?xml version="1.0" encoding="utf-8"?>
<ds:datastoreItem xmlns:ds="http://schemas.openxmlformats.org/officeDocument/2006/customXml" ds:itemID="{5C805166-C556-4CC0-9323-0A8ABB4B8CF3}">
  <ds:schemaRefs/>
</ds:datastoreItem>
</file>

<file path=customXml/itemProps3.xml><?xml version="1.0" encoding="utf-8"?>
<ds:datastoreItem xmlns:ds="http://schemas.openxmlformats.org/officeDocument/2006/customXml" ds:itemID="{77A8B04D-DA23-4E28-BF42-F87CDC8392BA}">
  <ds:schemaRefs/>
</ds:datastoreItem>
</file>

<file path=customXml/itemProps4.xml><?xml version="1.0" encoding="utf-8"?>
<ds:datastoreItem xmlns:ds="http://schemas.openxmlformats.org/officeDocument/2006/customXml" ds:itemID="{C5D890A0-EEB8-4724-A451-9C2004A9C267}">
  <ds:schemaRefs>
    <ds:schemaRef ds:uri="http://schemas.microsoft.com/DataMashup"/>
  </ds:schemaRefs>
</ds:datastoreItem>
</file>

<file path=customXml/itemProps5.xml><?xml version="1.0" encoding="utf-8"?>
<ds:datastoreItem xmlns:ds="http://schemas.openxmlformats.org/officeDocument/2006/customXml" ds:itemID="{E69E4C4F-1B56-4F7A-9D8B-B4FB8ACCDA95}">
  <ds:schemaRefs/>
</ds:datastoreItem>
</file>

<file path=customXml/itemProps6.xml><?xml version="1.0" encoding="utf-8"?>
<ds:datastoreItem xmlns:ds="http://schemas.openxmlformats.org/officeDocument/2006/customXml" ds:itemID="{9E291FCF-3EE4-456E-9F95-8A369ACBED43}">
  <ds:schemaRefs/>
</ds:datastoreItem>
</file>

<file path=customXml/itemProps7.xml><?xml version="1.0" encoding="utf-8"?>
<ds:datastoreItem xmlns:ds="http://schemas.openxmlformats.org/officeDocument/2006/customXml" ds:itemID="{D3C4B3F4-21D6-47A5-B6A3-491D952C338A}">
  <ds:schemaRefs/>
</ds:datastoreItem>
</file>

<file path=customXml/itemProps8.xml><?xml version="1.0" encoding="utf-8"?>
<ds:datastoreItem xmlns:ds="http://schemas.openxmlformats.org/officeDocument/2006/customXml" ds:itemID="{CEFD8446-361E-4254-BB5C-032D55E3276C}">
  <ds:schemaRefs/>
</ds:datastoreItem>
</file>

<file path=customXml/itemProps9.xml><?xml version="1.0" encoding="utf-8"?>
<ds:datastoreItem xmlns:ds="http://schemas.openxmlformats.org/officeDocument/2006/customXml" ds:itemID="{C472EE22-7503-4FA3-B061-DA37F6349634}">
  <ds:schemaRefs/>
</ds:datastoreItem>
</file>

<file path=customXml/itemProps10.xml><?xml version="1.0" encoding="utf-8"?>
<ds:datastoreItem xmlns:ds="http://schemas.openxmlformats.org/officeDocument/2006/customXml" ds:itemID="{6317711B-2061-4B1F-ADA7-73CE10D96152}">
  <ds:schemaRefs/>
</ds:datastoreItem>
</file>

<file path=customXml/itemProps11.xml><?xml version="1.0" encoding="utf-8"?>
<ds:datastoreItem xmlns:ds="http://schemas.openxmlformats.org/officeDocument/2006/customXml" ds:itemID="{EA8CA7A4-A055-4023-A350-7A264E0BFD59}">
  <ds:schemaRefs/>
</ds:datastoreItem>
</file>

<file path=customXml/itemProps12.xml><?xml version="1.0" encoding="utf-8"?>
<ds:datastoreItem xmlns:ds="http://schemas.openxmlformats.org/officeDocument/2006/customXml" ds:itemID="{755D7FC6-3C61-44E8-9F94-9C9754C46111}">
  <ds:schemaRefs/>
</ds:datastoreItem>
</file>

<file path=customXml/itemProps13.xml><?xml version="1.0" encoding="utf-8"?>
<ds:datastoreItem xmlns:ds="http://schemas.openxmlformats.org/officeDocument/2006/customXml" ds:itemID="{3BDC731E-DDF9-4EB8-A084-2B3F24F623D5}">
  <ds:schemaRefs/>
</ds:datastoreItem>
</file>

<file path=customXml/itemProps14.xml><?xml version="1.0" encoding="utf-8"?>
<ds:datastoreItem xmlns:ds="http://schemas.openxmlformats.org/officeDocument/2006/customXml" ds:itemID="{2FBC35AB-52EA-4830-BE55-BF124E3D703E}">
  <ds:schemaRefs/>
</ds:datastoreItem>
</file>

<file path=customXml/itemProps15.xml><?xml version="1.0" encoding="utf-8"?>
<ds:datastoreItem xmlns:ds="http://schemas.openxmlformats.org/officeDocument/2006/customXml" ds:itemID="{F452F047-0341-48A7-9D92-FE7CB46B0C75}">
  <ds:schemaRefs/>
</ds:datastoreItem>
</file>

<file path=customXml/itemProps16.xml><?xml version="1.0" encoding="utf-8"?>
<ds:datastoreItem xmlns:ds="http://schemas.openxmlformats.org/officeDocument/2006/customXml" ds:itemID="{D1192CFC-11E8-427C-827E-C09CA4C9EF03}">
  <ds:schemaRefs/>
</ds:datastoreItem>
</file>

<file path=customXml/itemProps17.xml><?xml version="1.0" encoding="utf-8"?>
<ds:datastoreItem xmlns:ds="http://schemas.openxmlformats.org/officeDocument/2006/customXml" ds:itemID="{963B6606-8661-41DC-9C59-47311DFE6E16}">
  <ds:schemaRefs/>
</ds:datastoreItem>
</file>

<file path=customXml/itemProps18.xml><?xml version="1.0" encoding="utf-8"?>
<ds:datastoreItem xmlns:ds="http://schemas.openxmlformats.org/officeDocument/2006/customXml" ds:itemID="{F95518AC-ED95-4307-8E64-A7EE25748B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waittime daily trends</vt:lpstr>
      <vt:lpstr>Daily_ER_No._of_patient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sutar</dc:creator>
  <cp:lastModifiedBy>Vaishnavi sutar</cp:lastModifiedBy>
  <dcterms:created xsi:type="dcterms:W3CDTF">2026-06-30T06:13:05Z</dcterms:created>
  <dcterms:modified xsi:type="dcterms:W3CDTF">2026-07-01T10:28:27Z</dcterms:modified>
</cp:coreProperties>
</file>